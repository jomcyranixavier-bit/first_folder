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77962404eaf00c/Desktop/"/>
    </mc:Choice>
  </mc:AlternateContent>
  <xr:revisionPtr revIDLastSave="0" documentId="8_{E5028810-90E6-407A-9277-121204829B73}" xr6:coauthVersionLast="47" xr6:coauthVersionMax="47" xr10:uidLastSave="{00000000-0000-0000-0000-000000000000}"/>
  <bookViews>
    <workbookView xWindow="-108" yWindow="-108" windowWidth="23256" windowHeight="12456" xr2:uid="{DFE755E7-8B8A-46D4-89D1-7F77B2FA401B}"/>
  </bookViews>
  <sheets>
    <sheet name="Solutions" sheetId="2" r:id="rId1"/>
    <sheet name="steps and syntax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 a="1"/>
  <c r="J2" i="2" s="1"/>
  <c r="I2" i="2" a="1"/>
  <c r="I2" i="2" s="1"/>
  <c r="H2" i="2" a="1"/>
  <c r="H2" i="2" s="1"/>
  <c r="L32" i="2"/>
  <c r="L29" i="2"/>
  <c r="G2" i="2" a="1"/>
  <c r="G2" i="2" s="1"/>
  <c r="L19" i="2"/>
  <c r="L11" i="2"/>
  <c r="L8" i="2"/>
  <c r="L5" i="2"/>
  <c r="L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<sst xmlns="http://schemas.openxmlformats.org/spreadsheetml/2006/main" count="182" uniqueCount="126">
  <si>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</si>
  <si>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</si>
  <si>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</si>
  <si>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</si>
  <si>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</si>
  <si>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</si>
  <si>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</si>
  <si>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</si>
  <si>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</si>
  <si>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</si>
  <si>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</si>
  <si>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</si>
  <si>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</si>
  <si>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</si>
  <si>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</si>
  <si>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</si>
  <si>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</si>
  <si>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</si>
  <si>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</si>
  <si>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</si>
  <si>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</si>
  <si>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</si>
  <si>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</si>
  <si>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</si>
  <si>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</si>
  <si>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</si>
  <si>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</si>
  <si>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</si>
  <si>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</si>
  <si>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</si>
  <si>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</si>
  <si>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</si>
  <si>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</si>
  <si>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</si>
  <si>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</si>
  <si>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</si>
  <si>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</si>
  <si>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</si>
  <si>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</si>
  <si>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</si>
  <si>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</si>
  <si>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</si>
  <si>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</si>
  <si>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</si>
  <si>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</si>
  <si>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</si>
  <si>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</si>
  <si>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</si>
  <si>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</si>
  <si>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</si>
  <si>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</si>
  <si>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</si>
  <si>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</si>
  <si>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</si>
  <si>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</si>
  <si>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</si>
  <si>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</si>
  <si>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</si>
  <si>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</si>
  <si>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</si>
  <si>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</si>
  <si>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</si>
  <si>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</si>
  <si>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</si>
  <si>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</si>
  <si>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</si>
  <si>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</si>
  <si>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</si>
  <si>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</si>
  <si>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</si>
  <si>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</si>
  <si>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</si>
  <si>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</si>
  <si>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</si>
  <si>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</si>
  <si>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</si>
  <si>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</si>
  <si>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</si>
  <si>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</si>
  <si>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</si>
  <si>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</si>
  <si>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</si>
  <si>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</si>
  <si>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</si>
  <si>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</si>
  <si>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</si>
  <si>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</si>
  <si>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</si>
  <si>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</si>
  <si>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</si>
  <si>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</si>
  <si>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</si>
  <si>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</si>
  <si>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What is the total price of all products in the dataset?</t>
  </si>
  <si>
    <t>1) Sum, Count, Average:</t>
  </si>
  <si>
    <t>• How many products are there in the dataset?</t>
  </si>
  <si>
    <t>• Calculate the average price of the products.</t>
  </si>
  <si>
    <t>2) Min and Max: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</si>
  <si>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</si>
  <si>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</si>
  <si>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</si>
  <si>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Price Range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</si>
  <si>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</si>
  <si>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</si>
  <si>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</si>
  <si>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</si>
  <si>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</si>
  <si>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Day</t>
  </si>
  <si>
    <t>• Create a new column named Country Code by extracting the last 2 characters from the 'Product ID' column using the RIGHT function.</t>
  </si>
  <si>
    <t>Country code</t>
  </si>
  <si>
    <t>• Create a new column named Month by extracting 4th to 6th characters from the 'Product ID' column using the MID function.</t>
  </si>
  <si>
    <t>Month</t>
  </si>
  <si>
    <t xml:space="preserve">	1) Sum, Count, Average:		</t>
  </si>
  <si>
    <t>2) Min and Max</t>
  </si>
  <si>
    <t>SUM(range)  SUM(D2:D35</t>
  </si>
  <si>
    <t>COUNT(range) COUNTA(B2:B35)</t>
  </si>
  <si>
    <t>AVERAGE(range) AVERAGE(D2:D35)</t>
  </si>
  <si>
    <t>Max(range) MAX(D2:D35)</t>
  </si>
  <si>
    <t>MIN(D2:D35)</t>
  </si>
  <si>
    <t>IF(D2:D35&gt;=500,"High price","Standard price")</t>
  </si>
  <si>
    <t>SUMIF(F10:F35,"Electronics",D2:D35)</t>
  </si>
  <si>
    <t>COUNTIF(D2:D35, "&lt;100")</t>
  </si>
  <si>
    <t>LEFT(A2:A35,2)</t>
  </si>
  <si>
    <t>RIGHT(A2:A35,2)</t>
  </si>
  <si>
    <t>MID(A2:A35,"4","3")</t>
  </si>
  <si>
    <t>Steps and 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</si>
</sst>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theme="4"/>
      </left>
      <right style="medium">
        <color rgb="FFCCCCCC"/>
      </right>
      <top style="thin">
        <color theme="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theme="4"/>
      </top>
      <bottom/>
      <diagonal/>
    </border>
    <border>
      <left style="medium">
        <color rgb="FFCCCCCC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medium">
        <color rgb="FFCCCCCC"/>
      </right>
      <top style="medium">
        <color rgb="FFCCCCCC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right" wrapText="1"/>
    </xf>
    <xf numFmtId="0" fontId="3" fillId="3" borderId="7" xfId="0" applyFont="1" applyFill="1" applyBorder="1" applyAlignment="1">
      <alignment horizontal="right" wrapText="1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wrapText="1"/>
    </xf>
    <xf numFmtId="0" fontId="3" fillId="0" borderId="11" xfId="0" applyFont="1" applyBorder="1"/>
    <xf numFmtId="0" fontId="3" fillId="3" borderId="11" xfId="0" applyFont="1" applyFill="1" applyBorder="1"/>
    <xf numFmtId="0" fontId="3" fillId="3" borderId="13" xfId="0" applyFont="1" applyFill="1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ECCA-E728-4005-B721-190AEAF255C1}">
  <dimension ref="A1:U37"/>
  <sheetViews>
    <sheetView tabSelected="1" zoomScale="63" zoomScaleNormal="63" workbookViewId="0">
      <selection activeCell="J3" sqref="J3"/>
    </sheetView>
  </sheetViews>
  <sheetFormatPr defaultRowHeight="14.4" x14ac:dyDescent="0.3"/>
  <cols>
    <col min="1" max="1" width="17.33203125" customWidth="1"/>
    <col min="2" max="2" width="16.33203125" customWidth="1"/>
    <col min="3" max="3" width="15.21875" customWidth="1"/>
    <col min="5" max="5" width="9.44140625" customWidth="1"/>
    <col min="6" max="6" width="28" customWidth="1"/>
    <col min="7" max="7" width="13.6640625" customWidth="1"/>
    <col min="8" max="8" width="8.88671875" style="2"/>
    <col min="9" max="9" width="10.109375" style="1" customWidth="1"/>
    <col min="10" max="10" width="8.88671875" style="1"/>
    <col min="12" max="12" width="49.109375" customWidth="1"/>
  </cols>
  <sheetData>
    <row r="1" spans="1:18" ht="27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19" t="s">
        <v>4</v>
      </c>
      <c r="F1" s="22" t="s">
        <v>5</v>
      </c>
      <c r="G1" s="23" t="s">
        <v>101</v>
      </c>
      <c r="H1" s="24" t="s">
        <v>107</v>
      </c>
      <c r="I1" s="23" t="s">
        <v>109</v>
      </c>
      <c r="J1" s="25" t="s">
        <v>111</v>
      </c>
    </row>
    <row r="2" spans="1:18" ht="16.2" thickBot="1" x14ac:dyDescent="0.35">
      <c r="A2" s="5" t="s">
        <v>6</v>
      </c>
      <c r="B2" s="5" t="s">
        <v>7</v>
      </c>
      <c r="C2" s="5" t="s">
        <v>8</v>
      </c>
      <c r="D2" s="6">
        <v>1000</v>
      </c>
      <c r="E2" s="20">
        <v>30</v>
      </c>
      <c r="F2" s="26" t="s">
        <v>9</v>
      </c>
      <c r="G2" t="str" cm="1">
        <f t="array" ref="G2:G35">IF(D2:D35&gt;=500,"High price","Standard price")</f>
        <v>High price</v>
      </c>
      <c r="H2" s="2" t="str" cm="1">
        <f t="array" ref="H2:H35">LEFT(A2:A35,2)</f>
        <v>28</v>
      </c>
      <c r="I2" s="1" t="str" cm="1">
        <f t="array" ref="I2:I35">RIGHT(A2:A35,2)</f>
        <v>US</v>
      </c>
      <c r="J2" s="32" t="str" cm="1">
        <f t="array" ref="J2:J35">MID(A2:A35,"4","3")</f>
        <v>JAN</v>
      </c>
      <c r="K2" s="13"/>
      <c r="L2" s="14" t="s">
        <v>94</v>
      </c>
      <c r="O2" s="9"/>
      <c r="P2" s="9"/>
      <c r="Q2" s="9"/>
      <c r="R2" s="10"/>
    </row>
    <row r="3" spans="1:18" ht="15" thickBot="1" x14ac:dyDescent="0.35">
      <c r="A3" s="7" t="s">
        <v>10</v>
      </c>
      <c r="B3" s="7" t="s">
        <v>11</v>
      </c>
      <c r="C3" s="7" t="s">
        <v>12</v>
      </c>
      <c r="D3" s="8">
        <v>80</v>
      </c>
      <c r="E3" s="21">
        <v>15</v>
      </c>
      <c r="F3" s="27" t="s">
        <v>13</v>
      </c>
      <c r="G3" t="str">
        <v>Standard price</v>
      </c>
      <c r="H3" s="2" t="str">
        <v>15</v>
      </c>
      <c r="I3" s="17" t="str">
        <v>US</v>
      </c>
      <c r="J3" s="32" t="str">
        <v>FEB</v>
      </c>
      <c r="K3" s="3"/>
      <c r="L3" s="3"/>
      <c r="M3" s="3"/>
      <c r="N3" s="3"/>
      <c r="O3" s="3"/>
      <c r="P3" s="3"/>
      <c r="Q3" s="3"/>
      <c r="R3" s="11"/>
    </row>
    <row r="4" spans="1:18" ht="16.2" thickBot="1" x14ac:dyDescent="0.35">
      <c r="A4" s="5" t="s">
        <v>14</v>
      </c>
      <c r="B4" s="5" t="s">
        <v>15</v>
      </c>
      <c r="C4" s="5" t="s">
        <v>16</v>
      </c>
      <c r="D4" s="6">
        <v>130</v>
      </c>
      <c r="E4" s="20">
        <v>40</v>
      </c>
      <c r="F4" s="26" t="s">
        <v>17</v>
      </c>
      <c r="G4" t="str">
        <v>Standard price</v>
      </c>
      <c r="H4" s="2" t="str">
        <v>03</v>
      </c>
      <c r="I4" s="1" t="str">
        <v>US</v>
      </c>
      <c r="J4" s="32" t="str">
        <v>MAR</v>
      </c>
      <c r="K4" s="13"/>
      <c r="L4" s="12" t="s">
        <v>93</v>
      </c>
      <c r="M4" s="13"/>
      <c r="N4" s="9"/>
      <c r="O4" s="9"/>
      <c r="P4" s="3"/>
      <c r="Q4" s="3"/>
      <c r="R4" s="11"/>
    </row>
    <row r="5" spans="1:18" ht="15" thickBot="1" x14ac:dyDescent="0.35">
      <c r="A5" s="7" t="s">
        <v>18</v>
      </c>
      <c r="B5" s="7" t="s">
        <v>19</v>
      </c>
      <c r="C5" s="7" t="s">
        <v>20</v>
      </c>
      <c r="D5" s="8">
        <v>900</v>
      </c>
      <c r="E5" s="21">
        <v>25</v>
      </c>
      <c r="F5" s="27" t="s">
        <v>9</v>
      </c>
      <c r="G5" t="str">
        <v>High price</v>
      </c>
      <c r="H5" s="2" t="str">
        <v>11</v>
      </c>
      <c r="I5" s="17" t="str">
        <v>US</v>
      </c>
      <c r="J5" s="32" t="str">
        <v>APR</v>
      </c>
      <c r="K5" s="3"/>
      <c r="L5" s="15">
        <f>SUM(D2:D35)</f>
        <v>10100</v>
      </c>
      <c r="M5" s="3"/>
      <c r="N5" s="3"/>
      <c r="O5" s="3"/>
      <c r="P5" s="3"/>
      <c r="Q5" s="3"/>
      <c r="R5" s="11"/>
    </row>
    <row r="6" spans="1:18" ht="15" thickBot="1" x14ac:dyDescent="0.35">
      <c r="A6" s="5" t="s">
        <v>21</v>
      </c>
      <c r="B6" s="5" t="s">
        <v>22</v>
      </c>
      <c r="C6" s="5" t="s">
        <v>23</v>
      </c>
      <c r="D6" s="6">
        <v>70</v>
      </c>
      <c r="E6" s="20">
        <v>20</v>
      </c>
      <c r="F6" s="26" t="s">
        <v>24</v>
      </c>
      <c r="G6" t="str">
        <v>Standard price</v>
      </c>
      <c r="H6" s="2" t="str">
        <v>22</v>
      </c>
      <c r="I6" s="17" t="str">
        <v>US</v>
      </c>
      <c r="J6" s="32" t="str">
        <v>MAY</v>
      </c>
      <c r="K6" s="3"/>
      <c r="L6" s="3"/>
      <c r="M6" s="3"/>
      <c r="N6" s="3"/>
      <c r="O6" s="3"/>
      <c r="P6" s="3"/>
      <c r="Q6" s="3"/>
      <c r="R6" s="11"/>
    </row>
    <row r="7" spans="1:18" ht="16.2" thickBot="1" x14ac:dyDescent="0.35">
      <c r="A7" s="7" t="s">
        <v>25</v>
      </c>
      <c r="B7" s="7" t="s">
        <v>26</v>
      </c>
      <c r="C7" s="7" t="s">
        <v>27</v>
      </c>
      <c r="D7" s="8">
        <v>200</v>
      </c>
      <c r="E7" s="21">
        <v>45</v>
      </c>
      <c r="F7" s="27" t="s">
        <v>9</v>
      </c>
      <c r="G7" t="str">
        <v>Standard price</v>
      </c>
      <c r="H7" s="2" t="str">
        <v>07</v>
      </c>
      <c r="I7" s="17" t="str">
        <v>UK</v>
      </c>
      <c r="J7" s="32" t="str">
        <v>JUN</v>
      </c>
      <c r="K7" s="13"/>
      <c r="L7" s="12" t="s">
        <v>95</v>
      </c>
      <c r="M7" s="13"/>
      <c r="N7" s="3"/>
      <c r="O7" s="3"/>
      <c r="P7" s="3"/>
      <c r="Q7" s="3"/>
      <c r="R7" s="11"/>
    </row>
    <row r="8" spans="1:18" ht="15" thickBot="1" x14ac:dyDescent="0.35">
      <c r="A8" s="5" t="s">
        <v>28</v>
      </c>
      <c r="B8" s="5" t="s">
        <v>29</v>
      </c>
      <c r="C8" s="5" t="s">
        <v>30</v>
      </c>
      <c r="D8" s="6">
        <v>30</v>
      </c>
      <c r="E8" s="20">
        <v>5</v>
      </c>
      <c r="F8" s="26" t="s">
        <v>13</v>
      </c>
      <c r="G8" t="str">
        <v>Standard price</v>
      </c>
      <c r="H8" s="2" t="str">
        <v>19</v>
      </c>
      <c r="I8" s="17" t="str">
        <v>UK</v>
      </c>
      <c r="J8" s="32" t="str">
        <v>JUL</v>
      </c>
      <c r="K8" s="3"/>
      <c r="L8" s="16">
        <f>COUNTA(B2:B35)</f>
        <v>34</v>
      </c>
      <c r="M8" s="3"/>
      <c r="N8" s="3"/>
      <c r="O8" s="3"/>
      <c r="P8" s="3"/>
      <c r="Q8" s="3"/>
      <c r="R8" s="11"/>
    </row>
    <row r="9" spans="1:18" ht="15" thickBot="1" x14ac:dyDescent="0.35">
      <c r="A9" s="7" t="s">
        <v>31</v>
      </c>
      <c r="B9" s="7" t="s">
        <v>32</v>
      </c>
      <c r="C9" s="7" t="s">
        <v>33</v>
      </c>
      <c r="D9" s="8">
        <v>90</v>
      </c>
      <c r="E9" s="21">
        <v>35</v>
      </c>
      <c r="F9" s="27" t="s">
        <v>17</v>
      </c>
      <c r="G9" t="str">
        <v>Standard price</v>
      </c>
      <c r="H9" s="2" t="str">
        <v>23</v>
      </c>
      <c r="I9" s="17" t="str">
        <v>UK</v>
      </c>
      <c r="J9" s="32" t="str">
        <v>AUG</v>
      </c>
      <c r="K9" s="3"/>
      <c r="L9" s="3"/>
      <c r="M9" s="3"/>
      <c r="N9" s="3"/>
      <c r="O9" s="3"/>
      <c r="P9" s="3"/>
      <c r="Q9" s="3"/>
      <c r="R9" s="11"/>
    </row>
    <row r="10" spans="1:18" ht="16.2" thickBot="1" x14ac:dyDescent="0.35">
      <c r="A10" s="5" t="s">
        <v>34</v>
      </c>
      <c r="B10" s="5" t="s">
        <v>35</v>
      </c>
      <c r="C10" s="5" t="s">
        <v>36</v>
      </c>
      <c r="D10" s="6">
        <v>500</v>
      </c>
      <c r="E10" s="20">
        <v>50</v>
      </c>
      <c r="F10" s="26" t="s">
        <v>9</v>
      </c>
      <c r="G10" t="str">
        <v>High price</v>
      </c>
      <c r="H10" s="2" t="str">
        <v>05</v>
      </c>
      <c r="I10" s="17" t="str">
        <v>UK</v>
      </c>
      <c r="J10" s="32" t="str">
        <v>SEP</v>
      </c>
      <c r="K10" s="13"/>
      <c r="L10" s="12" t="s">
        <v>96</v>
      </c>
      <c r="M10" s="13"/>
      <c r="N10" s="12"/>
      <c r="O10" s="3"/>
      <c r="P10" s="3"/>
      <c r="Q10" s="3"/>
      <c r="R10" s="11"/>
    </row>
    <row r="11" spans="1:18" ht="15" thickBot="1" x14ac:dyDescent="0.35">
      <c r="A11" s="7" t="s">
        <v>37</v>
      </c>
      <c r="B11" s="7" t="s">
        <v>38</v>
      </c>
      <c r="C11" s="7" t="s">
        <v>39</v>
      </c>
      <c r="D11" s="8">
        <v>130</v>
      </c>
      <c r="E11" s="21">
        <v>10</v>
      </c>
      <c r="F11" s="27" t="s">
        <v>24</v>
      </c>
      <c r="G11" t="str">
        <v>Standard price</v>
      </c>
      <c r="H11" s="2" t="str">
        <v>14</v>
      </c>
      <c r="I11" s="17" t="str">
        <v>UK</v>
      </c>
      <c r="J11" s="32" t="str">
        <v>OCT</v>
      </c>
      <c r="K11" s="3"/>
      <c r="L11" s="16">
        <f>AVERAGE(D2:D35)</f>
        <v>297.05882352941177</v>
      </c>
      <c r="M11" s="3"/>
      <c r="N11" s="3"/>
      <c r="O11" s="3"/>
      <c r="P11" s="3"/>
      <c r="Q11" s="3"/>
      <c r="R11" s="11"/>
    </row>
    <row r="12" spans="1:18" ht="15" thickBot="1" x14ac:dyDescent="0.35">
      <c r="A12" s="5" t="s">
        <v>40</v>
      </c>
      <c r="B12" s="5" t="s">
        <v>7</v>
      </c>
      <c r="C12" s="5" t="s">
        <v>41</v>
      </c>
      <c r="D12" s="6">
        <v>950</v>
      </c>
      <c r="E12" s="20">
        <v>25</v>
      </c>
      <c r="F12" s="26" t="s">
        <v>9</v>
      </c>
      <c r="G12" t="str">
        <v>High price</v>
      </c>
      <c r="H12" s="2" t="str">
        <v>17</v>
      </c>
      <c r="I12" s="17" t="str">
        <v>IN</v>
      </c>
      <c r="J12" s="32" t="str">
        <v>JUN</v>
      </c>
      <c r="K12" s="3"/>
      <c r="L12" s="3"/>
      <c r="M12" s="3"/>
      <c r="N12" s="3"/>
      <c r="O12" s="3"/>
      <c r="P12" s="3"/>
      <c r="Q12" s="3"/>
      <c r="R12" s="11"/>
    </row>
    <row r="13" spans="1:18" ht="16.2" thickBot="1" x14ac:dyDescent="0.35">
      <c r="A13" s="7" t="s">
        <v>42</v>
      </c>
      <c r="B13" s="7" t="s">
        <v>11</v>
      </c>
      <c r="C13" s="7" t="s">
        <v>30</v>
      </c>
      <c r="D13" s="8">
        <v>90</v>
      </c>
      <c r="E13" s="21">
        <v>40</v>
      </c>
      <c r="F13" s="27" t="s">
        <v>13</v>
      </c>
      <c r="G13" t="str">
        <v>Standard price</v>
      </c>
      <c r="H13" s="2" t="str">
        <v>25</v>
      </c>
      <c r="I13" s="17" t="str">
        <v>AU</v>
      </c>
      <c r="J13" s="32" t="str">
        <v>NOV</v>
      </c>
      <c r="K13" s="13"/>
      <c r="L13" s="14" t="s">
        <v>97</v>
      </c>
      <c r="M13" s="3"/>
      <c r="N13" s="3"/>
      <c r="O13" s="3"/>
      <c r="P13" s="3"/>
      <c r="Q13" s="3"/>
      <c r="R13" s="11"/>
    </row>
    <row r="14" spans="1:18" ht="15" thickBot="1" x14ac:dyDescent="0.35">
      <c r="A14" s="5" t="s">
        <v>43</v>
      </c>
      <c r="B14" s="5" t="s">
        <v>15</v>
      </c>
      <c r="C14" s="5" t="s">
        <v>44</v>
      </c>
      <c r="D14" s="6">
        <v>120</v>
      </c>
      <c r="E14" s="20">
        <v>35</v>
      </c>
      <c r="F14" s="26" t="s">
        <v>17</v>
      </c>
      <c r="G14" t="str">
        <v>Standard price</v>
      </c>
      <c r="H14" s="2" t="str">
        <v>08</v>
      </c>
      <c r="I14" s="17" t="str">
        <v>DE</v>
      </c>
      <c r="J14" s="32" t="str">
        <v>DEC</v>
      </c>
      <c r="K14" s="3"/>
      <c r="L14" s="3"/>
      <c r="M14" s="3"/>
      <c r="N14" s="3"/>
      <c r="O14" s="3"/>
      <c r="P14" s="3"/>
      <c r="Q14" s="3"/>
      <c r="R14" s="11"/>
    </row>
    <row r="15" spans="1:18" ht="16.2" thickBot="1" x14ac:dyDescent="0.35">
      <c r="A15" s="7" t="s">
        <v>45</v>
      </c>
      <c r="B15" s="7" t="s">
        <v>46</v>
      </c>
      <c r="C15" s="7" t="s">
        <v>47</v>
      </c>
      <c r="D15" s="8">
        <v>150</v>
      </c>
      <c r="E15" s="21">
        <v>15</v>
      </c>
      <c r="F15" s="27" t="s">
        <v>9</v>
      </c>
      <c r="G15" t="str">
        <v>Standard price</v>
      </c>
      <c r="H15" s="2" t="str">
        <v>18</v>
      </c>
      <c r="I15" s="17" t="str">
        <v>CA</v>
      </c>
      <c r="J15" s="32" t="str">
        <v>FEB</v>
      </c>
      <c r="K15" s="13"/>
      <c r="L15" s="12"/>
      <c r="M15" s="13"/>
      <c r="N15" s="3"/>
      <c r="O15" s="3"/>
      <c r="P15" s="3"/>
      <c r="Q15" s="3"/>
      <c r="R15" s="11"/>
    </row>
    <row r="16" spans="1:18" ht="15" thickBot="1" x14ac:dyDescent="0.35">
      <c r="A16" s="5" t="s">
        <v>48</v>
      </c>
      <c r="B16" s="5" t="s">
        <v>26</v>
      </c>
      <c r="C16" s="5" t="s">
        <v>49</v>
      </c>
      <c r="D16" s="6">
        <v>250</v>
      </c>
      <c r="E16" s="20">
        <v>20</v>
      </c>
      <c r="F16" s="26" t="s">
        <v>9</v>
      </c>
      <c r="G16" t="str">
        <v>Standard price</v>
      </c>
      <c r="H16" s="2" t="str">
        <v>16</v>
      </c>
      <c r="I16" s="17" t="str">
        <v>ES</v>
      </c>
      <c r="J16" s="32" t="str">
        <v>APR</v>
      </c>
      <c r="K16" s="3"/>
      <c r="L16" s="16">
        <f>MIN(D2:D35)</f>
        <v>30</v>
      </c>
      <c r="M16" s="3"/>
      <c r="N16" s="3"/>
      <c r="O16" s="3"/>
      <c r="P16" s="3"/>
      <c r="Q16" s="3"/>
      <c r="R16" s="11"/>
    </row>
    <row r="17" spans="1:21" ht="15" thickBot="1" x14ac:dyDescent="0.35">
      <c r="A17" s="7" t="s">
        <v>50</v>
      </c>
      <c r="B17" s="7" t="s">
        <v>51</v>
      </c>
      <c r="C17" s="7" t="s">
        <v>52</v>
      </c>
      <c r="D17" s="8">
        <v>50</v>
      </c>
      <c r="E17" s="21">
        <v>35</v>
      </c>
      <c r="F17" s="27" t="s">
        <v>53</v>
      </c>
      <c r="G17" t="str">
        <v>Standard price</v>
      </c>
      <c r="H17" s="2" t="str">
        <v>21</v>
      </c>
      <c r="I17" s="17" t="str">
        <v>CA</v>
      </c>
      <c r="J17" s="32" t="str">
        <v>AUG</v>
      </c>
      <c r="K17" s="3"/>
      <c r="M17" s="3"/>
      <c r="N17" s="3"/>
      <c r="O17" s="3"/>
      <c r="P17" s="3"/>
      <c r="Q17" s="3"/>
      <c r="R17" s="11"/>
    </row>
    <row r="18" spans="1:21" ht="16.2" thickBot="1" x14ac:dyDescent="0.35">
      <c r="A18" s="5" t="s">
        <v>54</v>
      </c>
      <c r="B18" s="5" t="s">
        <v>46</v>
      </c>
      <c r="C18" s="5" t="s">
        <v>55</v>
      </c>
      <c r="D18" s="6">
        <v>160</v>
      </c>
      <c r="E18" s="20">
        <v>15</v>
      </c>
      <c r="F18" s="26" t="s">
        <v>9</v>
      </c>
      <c r="G18" t="str">
        <v>Standard price</v>
      </c>
      <c r="H18" s="2" t="str">
        <v>20</v>
      </c>
      <c r="I18" s="17" t="str">
        <v>CN</v>
      </c>
      <c r="J18" s="32" t="str">
        <v>AUG</v>
      </c>
      <c r="K18" s="3"/>
      <c r="L18" s="12" t="s">
        <v>98</v>
      </c>
      <c r="M18" s="3"/>
      <c r="N18" s="3"/>
      <c r="O18" s="3"/>
      <c r="P18" s="3"/>
      <c r="Q18" s="3"/>
      <c r="R18" s="11"/>
    </row>
    <row r="19" spans="1:21" ht="15" thickBot="1" x14ac:dyDescent="0.35">
      <c r="A19" s="7" t="s">
        <v>56</v>
      </c>
      <c r="B19" s="7" t="s">
        <v>7</v>
      </c>
      <c r="C19" s="7" t="s">
        <v>57</v>
      </c>
      <c r="D19" s="8">
        <v>980</v>
      </c>
      <c r="E19" s="21">
        <v>10</v>
      </c>
      <c r="F19" s="27" t="s">
        <v>9</v>
      </c>
      <c r="G19" t="str">
        <v>High price</v>
      </c>
      <c r="H19" s="2" t="str">
        <v>27</v>
      </c>
      <c r="I19" s="17" t="str">
        <v>IT</v>
      </c>
      <c r="J19" s="32" t="str">
        <v>JAN</v>
      </c>
      <c r="K19" s="13"/>
      <c r="L19" s="16">
        <f>MAX(D2:D35)</f>
        <v>1000</v>
      </c>
      <c r="M19" s="13"/>
      <c r="N19" s="3"/>
      <c r="O19" s="3"/>
      <c r="P19" s="3"/>
      <c r="Q19" s="3"/>
      <c r="R19" s="11"/>
    </row>
    <row r="20" spans="1:21" ht="15" thickBot="1" x14ac:dyDescent="0.35">
      <c r="A20" s="5" t="s">
        <v>58</v>
      </c>
      <c r="B20" s="5" t="s">
        <v>59</v>
      </c>
      <c r="C20" s="5" t="s">
        <v>60</v>
      </c>
      <c r="D20" s="6">
        <v>150</v>
      </c>
      <c r="E20" s="20">
        <v>15</v>
      </c>
      <c r="F20" s="26" t="s">
        <v>13</v>
      </c>
      <c r="G20" t="str">
        <v>Standard price</v>
      </c>
      <c r="H20" s="2" t="str">
        <v>01</v>
      </c>
      <c r="I20" s="17" t="str">
        <v>UK</v>
      </c>
      <c r="J20" s="32" t="str">
        <v>MAR</v>
      </c>
      <c r="K20" s="3"/>
      <c r="L20" s="3"/>
      <c r="M20" s="3"/>
      <c r="N20" s="3"/>
      <c r="O20" s="3"/>
      <c r="P20" s="3"/>
      <c r="Q20" s="3"/>
      <c r="R20" s="11"/>
    </row>
    <row r="21" spans="1:21" ht="16.2" thickBot="1" x14ac:dyDescent="0.35">
      <c r="A21" s="7" t="s">
        <v>61</v>
      </c>
      <c r="B21" s="7" t="s">
        <v>62</v>
      </c>
      <c r="C21" s="7" t="s">
        <v>63</v>
      </c>
      <c r="D21" s="8">
        <v>200</v>
      </c>
      <c r="E21" s="21">
        <v>10</v>
      </c>
      <c r="F21" s="27" t="s">
        <v>24</v>
      </c>
      <c r="G21" t="str">
        <v>Standard price</v>
      </c>
      <c r="H21" s="2" t="str">
        <v>14</v>
      </c>
      <c r="I21" s="17" t="str">
        <v>US</v>
      </c>
      <c r="J21" s="32" t="str">
        <v>AUG</v>
      </c>
      <c r="K21" s="13"/>
      <c r="L21" s="14" t="s">
        <v>99</v>
      </c>
      <c r="M21" s="3"/>
      <c r="N21" s="3"/>
      <c r="O21" s="3"/>
      <c r="P21" s="3"/>
      <c r="Q21" s="3"/>
      <c r="R21" s="11"/>
    </row>
    <row r="22" spans="1:21" ht="15" thickBot="1" x14ac:dyDescent="0.35">
      <c r="A22" s="5" t="s">
        <v>64</v>
      </c>
      <c r="B22" s="5" t="s">
        <v>65</v>
      </c>
      <c r="C22" s="5" t="s">
        <v>66</v>
      </c>
      <c r="D22" s="6">
        <v>700</v>
      </c>
      <c r="E22" s="20">
        <v>50</v>
      </c>
      <c r="F22" s="26" t="s">
        <v>9</v>
      </c>
      <c r="G22" t="str">
        <v>High price</v>
      </c>
      <c r="H22" s="2" t="str">
        <v>14</v>
      </c>
      <c r="I22" s="17" t="str">
        <v>RU</v>
      </c>
      <c r="J22" s="32" t="str">
        <v>MAY</v>
      </c>
      <c r="K22" s="3"/>
      <c r="L22" s="3"/>
      <c r="M22" s="3"/>
      <c r="N22" s="3"/>
      <c r="O22" s="3"/>
      <c r="P22" s="3"/>
      <c r="Q22" s="3"/>
      <c r="R22" s="11"/>
    </row>
    <row r="23" spans="1:21" ht="16.2" thickBot="1" x14ac:dyDescent="0.35">
      <c r="A23" s="7" t="s">
        <v>67</v>
      </c>
      <c r="B23" s="7" t="s">
        <v>68</v>
      </c>
      <c r="C23" s="7" t="s">
        <v>69</v>
      </c>
      <c r="D23" s="8">
        <v>80</v>
      </c>
      <c r="E23" s="21">
        <v>20</v>
      </c>
      <c r="F23" s="27" t="s">
        <v>17</v>
      </c>
      <c r="G23" t="str">
        <v>Standard price</v>
      </c>
      <c r="H23" s="2" t="str">
        <v>09</v>
      </c>
      <c r="I23" s="17" t="str">
        <v>CA</v>
      </c>
      <c r="J23" s="32" t="str">
        <v>JAN</v>
      </c>
      <c r="K23" s="13"/>
      <c r="L23" s="12" t="s">
        <v>100</v>
      </c>
      <c r="M23" s="13"/>
      <c r="N23" s="13"/>
      <c r="O23" s="13"/>
      <c r="P23" s="13"/>
      <c r="Q23" s="13"/>
      <c r="R23" s="13"/>
      <c r="S23" s="13"/>
      <c r="T23" s="13"/>
      <c r="U23" s="13"/>
    </row>
    <row r="24" spans="1:21" ht="15" thickBot="1" x14ac:dyDescent="0.35">
      <c r="A24" s="5" t="s">
        <v>70</v>
      </c>
      <c r="B24" s="5" t="s">
        <v>71</v>
      </c>
      <c r="C24" s="5" t="s">
        <v>72</v>
      </c>
      <c r="D24" s="6">
        <v>150</v>
      </c>
      <c r="E24" s="20">
        <v>30</v>
      </c>
      <c r="F24" s="26" t="s">
        <v>9</v>
      </c>
      <c r="G24" t="str">
        <v>Standard price</v>
      </c>
      <c r="H24" s="2" t="str">
        <v>19</v>
      </c>
      <c r="I24" s="17" t="str">
        <v>BR</v>
      </c>
      <c r="J24" s="32" t="str">
        <v>JUL</v>
      </c>
      <c r="K24" s="3"/>
      <c r="L24" s="3"/>
      <c r="M24" s="3"/>
      <c r="N24" s="3"/>
      <c r="O24" s="3"/>
      <c r="P24" s="3"/>
      <c r="Q24" s="3"/>
      <c r="R24" s="11"/>
    </row>
    <row r="25" spans="1:21" ht="15" thickBot="1" x14ac:dyDescent="0.35">
      <c r="A25" s="7" t="s">
        <v>50</v>
      </c>
      <c r="B25" s="7" t="s">
        <v>51</v>
      </c>
      <c r="C25" s="7" t="s">
        <v>52</v>
      </c>
      <c r="D25" s="8">
        <v>50</v>
      </c>
      <c r="E25" s="21">
        <v>35</v>
      </c>
      <c r="F25" s="27" t="s">
        <v>53</v>
      </c>
      <c r="G25" t="str">
        <v>Standard price</v>
      </c>
      <c r="H25" s="2" t="str">
        <v>21</v>
      </c>
      <c r="I25" s="17" t="str">
        <v>CA</v>
      </c>
      <c r="J25" s="32" t="str">
        <v>AUG</v>
      </c>
      <c r="K25" s="3"/>
      <c r="L25" s="3"/>
      <c r="M25" s="3"/>
      <c r="N25" s="3"/>
      <c r="O25" s="3"/>
      <c r="P25" s="3"/>
      <c r="Q25" s="3"/>
      <c r="R25" s="11"/>
    </row>
    <row r="26" spans="1:21" ht="16.2" thickBot="1" x14ac:dyDescent="0.35">
      <c r="A26" s="5" t="s">
        <v>73</v>
      </c>
      <c r="B26" s="5" t="s">
        <v>19</v>
      </c>
      <c r="C26" s="5" t="s">
        <v>74</v>
      </c>
      <c r="D26" s="6">
        <v>800</v>
      </c>
      <c r="E26" s="20">
        <v>45</v>
      </c>
      <c r="F26" s="26" t="s">
        <v>9</v>
      </c>
      <c r="G26" t="str">
        <v>High price</v>
      </c>
      <c r="H26" s="2" t="str">
        <v>29</v>
      </c>
      <c r="I26" s="17" t="str">
        <v>CA</v>
      </c>
      <c r="J26" s="32" t="str">
        <v>SEP</v>
      </c>
      <c r="K26" s="13"/>
      <c r="L26" s="14" t="s">
        <v>102</v>
      </c>
      <c r="M26" s="3"/>
      <c r="N26" s="3"/>
      <c r="O26" s="3"/>
      <c r="P26" s="3"/>
      <c r="Q26" s="3"/>
      <c r="R26" s="11"/>
    </row>
    <row r="27" spans="1:21" ht="15" thickBot="1" x14ac:dyDescent="0.35">
      <c r="A27" s="7" t="s">
        <v>75</v>
      </c>
      <c r="B27" s="7" t="s">
        <v>59</v>
      </c>
      <c r="C27" s="7" t="s">
        <v>76</v>
      </c>
      <c r="D27" s="8">
        <v>130</v>
      </c>
      <c r="E27" s="21">
        <v>25</v>
      </c>
      <c r="F27" s="27" t="s">
        <v>13</v>
      </c>
      <c r="G27" t="str">
        <v>Standard price</v>
      </c>
      <c r="H27" s="2" t="str">
        <v>03</v>
      </c>
      <c r="I27" s="17" t="str">
        <v>CA</v>
      </c>
      <c r="J27" s="32" t="str">
        <v>JUN</v>
      </c>
      <c r="K27" s="3"/>
      <c r="L27" s="3"/>
      <c r="M27" s="3"/>
      <c r="N27" s="3"/>
      <c r="O27" s="3"/>
      <c r="P27" s="3"/>
      <c r="Q27" s="3"/>
      <c r="R27" s="11"/>
    </row>
    <row r="28" spans="1:21" ht="16.2" thickBot="1" x14ac:dyDescent="0.35">
      <c r="A28" s="5" t="s">
        <v>77</v>
      </c>
      <c r="B28" s="5" t="s">
        <v>32</v>
      </c>
      <c r="C28" s="5" t="s">
        <v>78</v>
      </c>
      <c r="D28" s="6">
        <v>400</v>
      </c>
      <c r="E28" s="20">
        <v>40</v>
      </c>
      <c r="F28" s="26" t="s">
        <v>17</v>
      </c>
      <c r="G28" t="str">
        <v>Standard price</v>
      </c>
      <c r="H28" s="2" t="str">
        <v>11</v>
      </c>
      <c r="I28" s="17" t="str">
        <v>CA</v>
      </c>
      <c r="J28" s="32" t="str">
        <v>JUL</v>
      </c>
      <c r="K28" s="13"/>
      <c r="L28" s="12" t="s">
        <v>103</v>
      </c>
      <c r="M28" s="13"/>
      <c r="N28" s="13"/>
      <c r="O28" s="13"/>
      <c r="P28" s="13"/>
      <c r="Q28" s="3"/>
      <c r="R28" s="11"/>
    </row>
    <row r="29" spans="1:21" ht="15" thickBot="1" x14ac:dyDescent="0.35">
      <c r="A29" s="7" t="s">
        <v>48</v>
      </c>
      <c r="B29" s="7" t="s">
        <v>26</v>
      </c>
      <c r="C29" s="7" t="s">
        <v>49</v>
      </c>
      <c r="D29" s="8">
        <v>230</v>
      </c>
      <c r="E29" s="21">
        <v>20</v>
      </c>
      <c r="F29" s="27" t="s">
        <v>9</v>
      </c>
      <c r="G29" t="str">
        <v>Standard price</v>
      </c>
      <c r="H29" s="2" t="str">
        <v>16</v>
      </c>
      <c r="I29" s="17" t="str">
        <v>ES</v>
      </c>
      <c r="J29" s="32" t="str">
        <v>APR</v>
      </c>
      <c r="K29" s="3"/>
      <c r="L29" s="16">
        <f>SUMIF(F10:F35,"Electronics",D2:D35)</f>
        <v>3670</v>
      </c>
      <c r="M29" s="3"/>
      <c r="N29" s="3"/>
      <c r="O29" s="3"/>
      <c r="P29" s="3"/>
      <c r="Q29" s="3"/>
      <c r="R29" s="11"/>
    </row>
    <row r="30" spans="1:21" ht="15" thickBot="1" x14ac:dyDescent="0.35">
      <c r="A30" s="5" t="s">
        <v>79</v>
      </c>
      <c r="B30" s="5" t="s">
        <v>80</v>
      </c>
      <c r="C30" s="5" t="s">
        <v>81</v>
      </c>
      <c r="D30" s="6">
        <v>60</v>
      </c>
      <c r="E30" s="20">
        <v>30</v>
      </c>
      <c r="F30" s="26" t="s">
        <v>13</v>
      </c>
      <c r="G30" t="str">
        <v>Standard price</v>
      </c>
      <c r="H30" s="2" t="str">
        <v>07</v>
      </c>
      <c r="I30" s="17" t="str">
        <v>CA</v>
      </c>
      <c r="J30" s="32" t="str">
        <v>MAR</v>
      </c>
      <c r="K30" s="3"/>
      <c r="M30" s="3"/>
      <c r="N30" s="3"/>
      <c r="O30" s="3"/>
      <c r="P30" s="3"/>
      <c r="Q30" s="3"/>
      <c r="R30" s="11"/>
    </row>
    <row r="31" spans="1:21" ht="16.2" thickBot="1" x14ac:dyDescent="0.35">
      <c r="A31" s="7" t="s">
        <v>82</v>
      </c>
      <c r="B31" s="7" t="s">
        <v>83</v>
      </c>
      <c r="C31" s="7" t="s">
        <v>84</v>
      </c>
      <c r="D31" s="8">
        <v>40</v>
      </c>
      <c r="E31" s="21">
        <v>10</v>
      </c>
      <c r="F31" s="27" t="s">
        <v>17</v>
      </c>
      <c r="G31" t="str">
        <v>Standard price</v>
      </c>
      <c r="H31" s="2" t="str">
        <v>13</v>
      </c>
      <c r="I31" s="17" t="str">
        <v>CA</v>
      </c>
      <c r="J31" s="32" t="str">
        <v>APR</v>
      </c>
      <c r="K31" s="13"/>
      <c r="L31" s="12" t="s">
        <v>104</v>
      </c>
      <c r="M31" s="13"/>
      <c r="N31" s="13"/>
      <c r="O31" s="13"/>
      <c r="P31" s="3"/>
      <c r="Q31" s="3"/>
      <c r="R31" s="11"/>
    </row>
    <row r="32" spans="1:21" ht="15" thickBot="1" x14ac:dyDescent="0.35">
      <c r="A32" s="5" t="s">
        <v>85</v>
      </c>
      <c r="B32" s="5" t="s">
        <v>71</v>
      </c>
      <c r="C32" s="5" t="s">
        <v>86</v>
      </c>
      <c r="D32" s="6">
        <v>130</v>
      </c>
      <c r="E32" s="20">
        <v>5</v>
      </c>
      <c r="F32" s="26" t="s">
        <v>9</v>
      </c>
      <c r="G32" t="str">
        <v>Standard price</v>
      </c>
      <c r="H32" s="2" t="str">
        <v>24</v>
      </c>
      <c r="I32" s="17" t="str">
        <v>CA</v>
      </c>
      <c r="J32" s="32" t="str">
        <v>MAY</v>
      </c>
      <c r="K32" s="3"/>
      <c r="L32" s="16">
        <f>COUNTIF(D2:D35, "&lt;100")</f>
        <v>11</v>
      </c>
      <c r="M32" s="3"/>
      <c r="N32" s="3"/>
      <c r="O32" s="3"/>
      <c r="P32" s="3"/>
      <c r="Q32" s="3"/>
      <c r="R32" s="11"/>
    </row>
    <row r="33" spans="1:20" ht="15" thickBot="1" x14ac:dyDescent="0.35">
      <c r="A33" s="7" t="s">
        <v>87</v>
      </c>
      <c r="B33" s="7" t="s">
        <v>88</v>
      </c>
      <c r="C33" s="7" t="s">
        <v>89</v>
      </c>
      <c r="D33" s="8">
        <v>50</v>
      </c>
      <c r="E33" s="21">
        <v>50</v>
      </c>
      <c r="F33" s="27" t="s">
        <v>13</v>
      </c>
      <c r="G33" t="str">
        <v>Standard price</v>
      </c>
      <c r="H33" s="2" t="str">
        <v>02</v>
      </c>
      <c r="I33" s="17" t="str">
        <v>CA</v>
      </c>
      <c r="J33" s="32" t="str">
        <v>DEC</v>
      </c>
      <c r="K33" s="3"/>
      <c r="L33" s="3"/>
      <c r="M33" s="3"/>
      <c r="N33" s="3"/>
      <c r="O33" s="3"/>
      <c r="P33" s="3"/>
      <c r="Q33" s="3"/>
      <c r="R33" s="11"/>
    </row>
    <row r="34" spans="1:20" ht="16.2" thickBot="1" x14ac:dyDescent="0.35">
      <c r="A34" s="5" t="s">
        <v>40</v>
      </c>
      <c r="B34" s="5" t="s">
        <v>7</v>
      </c>
      <c r="C34" s="5" t="s">
        <v>41</v>
      </c>
      <c r="D34" s="6">
        <v>950</v>
      </c>
      <c r="E34" s="20">
        <v>25</v>
      </c>
      <c r="F34" s="26" t="s">
        <v>9</v>
      </c>
      <c r="G34" t="str">
        <v>High price</v>
      </c>
      <c r="H34" s="2" t="str">
        <v>17</v>
      </c>
      <c r="I34" s="17" t="str">
        <v>IN</v>
      </c>
      <c r="J34" s="32" t="str">
        <v>JUN</v>
      </c>
      <c r="K34" s="13"/>
      <c r="L34" s="14" t="s">
        <v>105</v>
      </c>
      <c r="M34" s="13"/>
      <c r="N34" s="3"/>
      <c r="O34" s="3"/>
      <c r="P34" s="3"/>
      <c r="Q34" s="3"/>
      <c r="R34" s="11"/>
    </row>
    <row r="35" spans="1:20" ht="16.2" thickBot="1" x14ac:dyDescent="0.35">
      <c r="A35" s="7" t="s">
        <v>90</v>
      </c>
      <c r="B35" s="7" t="s">
        <v>91</v>
      </c>
      <c r="C35" s="7" t="s">
        <v>92</v>
      </c>
      <c r="D35" s="8">
        <v>100</v>
      </c>
      <c r="E35" s="21">
        <v>20</v>
      </c>
      <c r="F35" s="28" t="s">
        <v>53</v>
      </c>
      <c r="G35" s="29" t="str">
        <v>Standard price</v>
      </c>
      <c r="H35" s="30" t="str">
        <v>09</v>
      </c>
      <c r="I35" s="31" t="str">
        <v>FR</v>
      </c>
      <c r="J35" s="33" t="str">
        <v>JUL</v>
      </c>
      <c r="K35" s="3"/>
      <c r="L35" s="12" t="s">
        <v>106</v>
      </c>
      <c r="M35" s="13"/>
      <c r="N35" s="13"/>
      <c r="O35" s="13"/>
      <c r="P35" s="13"/>
      <c r="Q35" s="3"/>
      <c r="R35" s="11"/>
    </row>
    <row r="36" spans="1:20" ht="15.6" x14ac:dyDescent="0.3">
      <c r="I36" s="17"/>
      <c r="K36" s="13"/>
      <c r="L36" s="12" t="s">
        <v>108</v>
      </c>
      <c r="M36" s="13"/>
      <c r="N36" s="13"/>
      <c r="O36" s="13"/>
      <c r="P36" s="13"/>
      <c r="Q36" s="13"/>
      <c r="R36" s="13"/>
    </row>
    <row r="37" spans="1:20" ht="15.6" x14ac:dyDescent="0.3">
      <c r="I37" s="18"/>
      <c r="K37" s="13"/>
      <c r="L37" s="12" t="s">
        <v>110</v>
      </c>
      <c r="M37" s="13"/>
      <c r="N37" s="13"/>
      <c r="O37" s="13"/>
      <c r="P37" s="13"/>
      <c r="Q37" s="13"/>
      <c r="R37" s="13"/>
      <c r="S37" s="13"/>
      <c r="T3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CDBF-CD59-492D-BB9B-B66852230150}">
  <dimension ref="A1:P29"/>
  <sheetViews>
    <sheetView workbookViewId="0">
      <selection activeCell="A4" sqref="A4:E4"/>
    </sheetView>
  </sheetViews>
  <sheetFormatPr defaultRowHeight="14.4" x14ac:dyDescent="0.3"/>
  <sheetData>
    <row r="1" spans="1:7" x14ac:dyDescent="0.3">
      <c r="A1" s="35" t="s">
        <v>125</v>
      </c>
      <c r="B1" s="34"/>
      <c r="C1" s="34"/>
      <c r="D1" s="34"/>
      <c r="E1" s="34"/>
      <c r="F1" s="34"/>
      <c r="G1" s="34"/>
    </row>
    <row r="2" spans="1:7" x14ac:dyDescent="0.3">
      <c r="A2" s="36"/>
      <c r="B2" s="36"/>
      <c r="C2" s="36"/>
      <c r="D2" s="36"/>
      <c r="E2" s="36"/>
      <c r="F2" s="36"/>
      <c r="G2" s="36"/>
    </row>
    <row r="3" spans="1:7" x14ac:dyDescent="0.3">
      <c r="A3" s="34" t="s">
        <v>112</v>
      </c>
      <c r="B3" s="34"/>
      <c r="C3" s="34"/>
      <c r="D3" s="34"/>
      <c r="E3" s="34"/>
    </row>
    <row r="4" spans="1:7" x14ac:dyDescent="0.3">
      <c r="A4" s="35" t="s">
        <v>114</v>
      </c>
      <c r="B4" s="35"/>
      <c r="C4" s="35"/>
      <c r="D4" s="35"/>
      <c r="E4" s="35"/>
    </row>
    <row r="5" spans="1:7" x14ac:dyDescent="0.3">
      <c r="A5" s="35" t="s">
        <v>115</v>
      </c>
      <c r="B5" s="35"/>
      <c r="C5" s="35"/>
      <c r="D5" s="35"/>
      <c r="E5" s="35"/>
    </row>
    <row r="6" spans="1:7" x14ac:dyDescent="0.3">
      <c r="A6" s="35" t="s">
        <v>116</v>
      </c>
      <c r="B6" s="35"/>
      <c r="C6" s="35"/>
      <c r="D6" s="35"/>
      <c r="E6" s="35"/>
    </row>
    <row r="7" spans="1:7" x14ac:dyDescent="0.3">
      <c r="A7" s="34"/>
      <c r="B7" s="34"/>
      <c r="C7" s="34"/>
      <c r="D7" s="34"/>
      <c r="E7" s="34"/>
    </row>
    <row r="8" spans="1:7" x14ac:dyDescent="0.3">
      <c r="A8" s="34" t="s">
        <v>113</v>
      </c>
      <c r="B8" s="34"/>
      <c r="C8" s="34"/>
      <c r="D8" s="34"/>
      <c r="E8" s="34"/>
    </row>
    <row r="9" spans="1:7" x14ac:dyDescent="0.3">
      <c r="A9" s="35" t="s">
        <v>118</v>
      </c>
      <c r="B9" s="35"/>
      <c r="C9" s="35"/>
      <c r="D9" s="35"/>
      <c r="E9" s="35"/>
    </row>
    <row r="10" spans="1:7" x14ac:dyDescent="0.3">
      <c r="A10" s="35" t="s">
        <v>117</v>
      </c>
      <c r="B10" s="35"/>
      <c r="C10" s="35"/>
      <c r="D10" s="35"/>
      <c r="E10" s="35"/>
    </row>
    <row r="11" spans="1:7" x14ac:dyDescent="0.3">
      <c r="A11" s="34"/>
      <c r="B11" s="34"/>
      <c r="C11" s="34"/>
      <c r="D11" s="34"/>
      <c r="E11" s="34"/>
    </row>
    <row r="12" spans="1:7" x14ac:dyDescent="0.3">
      <c r="A12" s="34" t="s">
        <v>100</v>
      </c>
      <c r="B12" s="34"/>
      <c r="C12" s="34"/>
      <c r="D12" s="34"/>
      <c r="E12" s="34"/>
    </row>
    <row r="13" spans="1:7" x14ac:dyDescent="0.3">
      <c r="A13" s="35" t="s">
        <v>119</v>
      </c>
      <c r="B13" s="35"/>
      <c r="C13" s="35"/>
      <c r="D13" s="35"/>
      <c r="E13" s="35"/>
    </row>
    <row r="14" spans="1:7" x14ac:dyDescent="0.3">
      <c r="A14" s="34"/>
      <c r="B14" s="34"/>
      <c r="C14" s="34"/>
      <c r="D14" s="34"/>
      <c r="E14" s="34"/>
    </row>
    <row r="15" spans="1:7" x14ac:dyDescent="0.3">
      <c r="A15" s="34" t="s">
        <v>103</v>
      </c>
      <c r="B15" s="34"/>
      <c r="C15" s="34"/>
      <c r="D15" s="34"/>
      <c r="E15" s="34"/>
    </row>
    <row r="16" spans="1:7" x14ac:dyDescent="0.3">
      <c r="A16" s="35" t="s">
        <v>120</v>
      </c>
      <c r="B16" s="35"/>
      <c r="C16" s="35"/>
      <c r="D16" s="35"/>
      <c r="E16" s="35"/>
    </row>
    <row r="17" spans="1:16" x14ac:dyDescent="0.3">
      <c r="A17" s="34"/>
      <c r="B17" s="34"/>
      <c r="C17" s="34"/>
      <c r="D17" s="34"/>
      <c r="E17" s="34"/>
    </row>
    <row r="18" spans="1:16" x14ac:dyDescent="0.3">
      <c r="A18" s="34" t="s">
        <v>104</v>
      </c>
      <c r="B18" s="34"/>
      <c r="C18" s="34"/>
      <c r="D18" s="34"/>
      <c r="E18" s="34"/>
    </row>
    <row r="19" spans="1:16" x14ac:dyDescent="0.3">
      <c r="A19" s="35" t="s">
        <v>121</v>
      </c>
      <c r="B19" s="35"/>
      <c r="C19" s="35"/>
      <c r="D19" s="35"/>
      <c r="E19" s="35"/>
    </row>
    <row r="20" spans="1:16" x14ac:dyDescent="0.3">
      <c r="A20" s="34"/>
      <c r="B20" s="34"/>
      <c r="C20" s="34"/>
      <c r="D20" s="34"/>
      <c r="E20" s="34"/>
    </row>
    <row r="21" spans="1:16" ht="15.6" x14ac:dyDescent="0.3">
      <c r="A21" s="14" t="s">
        <v>105</v>
      </c>
      <c r="B21" s="13"/>
      <c r="C21" s="3"/>
      <c r="D21" s="3"/>
      <c r="E21" s="3"/>
      <c r="F21" s="3"/>
      <c r="G21" s="11"/>
    </row>
    <row r="22" spans="1:16" ht="15.6" x14ac:dyDescent="0.3">
      <c r="A22" s="12" t="s">
        <v>106</v>
      </c>
      <c r="B22" s="13"/>
      <c r="C22" s="13"/>
      <c r="D22" s="13"/>
      <c r="E22" s="13"/>
      <c r="F22" s="3"/>
      <c r="G22" s="11"/>
      <c r="L22" s="3" t="s">
        <v>122</v>
      </c>
      <c r="M22" s="3"/>
    </row>
    <row r="23" spans="1:16" ht="15.6" x14ac:dyDescent="0.3">
      <c r="A23" s="12" t="s">
        <v>108</v>
      </c>
      <c r="B23" s="13"/>
      <c r="C23" s="13"/>
      <c r="D23" s="13"/>
      <c r="E23" s="13"/>
      <c r="F23" s="13"/>
      <c r="G23" s="13"/>
      <c r="O23" s="3" t="s">
        <v>123</v>
      </c>
      <c r="P23" s="3"/>
    </row>
    <row r="24" spans="1:16" ht="15.6" x14ac:dyDescent="0.3">
      <c r="A24" s="12" t="s">
        <v>110</v>
      </c>
      <c r="B24" s="13"/>
      <c r="C24" s="13"/>
      <c r="D24" s="13"/>
      <c r="E24" s="13"/>
      <c r="F24" s="13"/>
      <c r="G24" s="13"/>
      <c r="H24" s="13"/>
      <c r="I24" s="13"/>
      <c r="N24" s="3" t="s">
        <v>124</v>
      </c>
    </row>
    <row r="29" spans="1:16" x14ac:dyDescent="0.3">
      <c r="K29" s="3"/>
    </row>
  </sheetData>
  <mergeCells count="20">
    <mergeCell ref="A1:G1"/>
    <mergeCell ref="A18:E18"/>
    <mergeCell ref="A19:E19"/>
    <mergeCell ref="A20:E20"/>
    <mergeCell ref="A12:E12"/>
    <mergeCell ref="A13:E13"/>
    <mergeCell ref="A14:E14"/>
    <mergeCell ref="A15:E15"/>
    <mergeCell ref="A16:E16"/>
    <mergeCell ref="A17:E17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Solutions</vt:lpstr>
      <vt:lpstr>steps and syntax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Jomcy Rani Xavier</dc:creator>
  <cp:lastModifiedBy>Jomcy Rani Xavier</cp:lastModifiedBy>
  <dcterms:created xsi:type="dcterms:W3CDTF">2026-09-24T05:11:13Z</dcterms:created>
  <dcterms:modified xsi:type="dcterms:W3CDTF">2026-09-24T16:53:29Z</dcterms:modified>
</cp:coreProperties>
</file>