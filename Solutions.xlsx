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577962404eaf00c/Desktop/"/>
    </mc:Choice>
  </mc:AlternateContent>
  <xr:revisionPtr revIDLastSave="385" documentId="8_{02127F0B-5CE8-4D8F-BC7B-0135234F71AA}" xr6:coauthVersionLast="47" xr6:coauthVersionMax="47" xr10:uidLastSave="{EC719209-EBDF-4F09-9B59-8731A2D8113C}"/>
  <bookViews>
    <workbookView xWindow="-108" yWindow="-108" windowWidth="23256" windowHeight="12456" activeTab="2" xr2:uid="{DFE755E7-8B8A-46D4-89D1-7F77B2FA401B}"/>
  </bookViews>
  <sheets>
    <sheet name="Sheet1" sheetId="1" r:id="rId1"/>
    <sheet name="Solutions" sheetId="2" r:id="rId2"/>
    <sheet name="steps and syntax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 a="1"/>
  <c r="J2" i="2" s="1"/>
  <c r="I2" i="2" a="1"/>
  <c r="I2" i="2" s="1"/>
  <c r="H2" i="2" a="1"/>
  <c r="H2" i="2" s="1"/>
  <c r="L32" i="2"/>
  <c r="L29" i="2"/>
  <c r="G2" i="2" a="1"/>
  <c r="G2" i="2" s="1"/>
  <c r="L19" i="2"/>
  <c r="L11" i="2"/>
  <c r="L8" i="2"/>
  <c r="L5" i="2"/>
  <c r="L16" i="2"/>
  <c r="E13" i="1"/>
  <c r="Q13" i="1"/>
  <c r="J2" i="1" a="1"/>
  <c r="J2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D28" i="1"/>
  <c r="D29" i="1"/>
  <c r="D27" i="1"/>
  <c r="E24" i="1"/>
  <c r="G23" i="1"/>
  <c r="E23" i="1"/>
  <c r="C21" i="1"/>
  <c r="C20" i="1"/>
  <c r="H2" i="1"/>
  <c r="H3" i="1"/>
  <c r="H4" i="1"/>
  <c r="H5" i="1"/>
  <c r="H6" i="1"/>
  <c r="H7" i="1"/>
  <c r="H8" i="1"/>
  <c r="H9" i="1"/>
  <c r="F2" i="1"/>
  <c r="F3" i="1"/>
  <c r="F4" i="1"/>
  <c r="F5" i="1"/>
  <c r="F6" i="1"/>
  <c r="F7" i="1"/>
  <c r="F8" i="1"/>
  <c r="F9" i="1"/>
  <c r="G17" i="1"/>
  <c r="E17" i="1"/>
  <c r="G16" i="1"/>
  <c r="G18" i="1" s="1"/>
  <c r="E16" i="1"/>
  <c r="G15" i="1"/>
  <c r="E15" i="1"/>
  <c r="G14" i="1"/>
  <c r="E14" i="1"/>
  <c r="G13" i="1"/>
  <c r="G12" i="1"/>
  <c r="E12" i="1"/>
  <c r="G11" i="1"/>
  <c r="E11" i="1"/>
  <c r="P9" i="1"/>
  <c r="R4" i="1"/>
  <c r="P4" i="1"/>
  <c r="G10" i="1"/>
  <c r="E1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<sst xmlns="http://schemas.openxmlformats.org/spreadsheetml/2006/main" count="267" uniqueCount="197">
  <si>
    <t>Employee_ID</t>
  </si>
  <si>
    <t>Full_Name</t>
  </si>
  <si>
    <t>Department</t>
  </si>
  <si>
    <t>Region</t>
  </si>
  <si>
    <t>Q1_Sales</t>
  </si>
  <si>
    <t>Q2_Sales</t>
  </si>
  <si>
    <t>Attendance_Days</t>
  </si>
  <si>
    <t>Performance_Rating</t>
  </si>
  <si>
    <t>EMP-101-NY</t>
  </si>
  <si>
    <t>ALICE SMITH</t>
  </si>
  <si>
    <t>Sales</t>
  </si>
  <si>
    <t>North</t>
  </si>
  <si>
    <t>Exceeds</t>
  </si>
  <si>
    <t>EMP-102-CA</t>
  </si>
  <si>
    <t>bob jones</t>
  </si>
  <si>
    <t>Support</t>
  </si>
  <si>
    <t>West</t>
  </si>
  <si>
    <t>Meets</t>
  </si>
  <si>
    <t>EMP-103-TX</t>
  </si>
  <si>
    <t>CHARLIE BROWN</t>
  </si>
  <si>
    <t>South</t>
  </si>
  <si>
    <t>EMP-104-NY</t>
  </si>
  <si>
    <t>diana prince</t>
  </si>
  <si>
    <t>IT</t>
  </si>
  <si>
    <t>Needs Improvement</t>
  </si>
  <si>
    <t>EMP-105-FL</t>
  </si>
  <si>
    <t>EVAN WRIGHT</t>
  </si>
  <si>
    <t>EMP-106-CA</t>
  </si>
  <si>
    <t>fiona gallagher</t>
  </si>
  <si>
    <t>Marketing</t>
  </si>
  <si>
    <t>EMP-107-TX</t>
  </si>
  <si>
    <t>GEORGE CLARK</t>
  </si>
  <si>
    <t>EMP-108-NY</t>
  </si>
  <si>
    <t>hannah abbott</t>
  </si>
  <si>
    <t>HR</t>
  </si>
  <si>
    <t>sum()-to find sum</t>
  </si>
  <si>
    <t>min() -to find smallest</t>
  </si>
  <si>
    <t>count() -countnumber only</t>
  </si>
  <si>
    <t>max() - to find largest</t>
  </si>
  <si>
    <t>sum()</t>
  </si>
  <si>
    <t>counta() -  count an empty cell</t>
  </si>
  <si>
    <t>q1</t>
  </si>
  <si>
    <t>Q2</t>
  </si>
  <si>
    <t>MIN</t>
  </si>
  <si>
    <t>countblank</t>
  </si>
  <si>
    <t>count null cells</t>
  </si>
  <si>
    <t>merge</t>
  </si>
  <si>
    <t>if(E2&gt;15000</t>
  </si>
  <si>
    <t>Minimum</t>
  </si>
  <si>
    <t>Sum</t>
  </si>
  <si>
    <t>max</t>
  </si>
  <si>
    <t>count</t>
  </si>
  <si>
    <t>counta</t>
  </si>
  <si>
    <t>countbalank</t>
  </si>
  <si>
    <t>average</t>
  </si>
  <si>
    <t xml:space="preserve">2 nd largest =large(E2:E9,2) </t>
  </si>
  <si>
    <t>round() to change decimal</t>
  </si>
  <si>
    <t>if (SALES&gt;=15000,"Bonus","No bonus" -apply with fisrt value</t>
  </si>
  <si>
    <t>Column1</t>
  </si>
  <si>
    <t>Column2</t>
  </si>
  <si>
    <t>countif(range,criteria)</t>
  </si>
  <si>
    <t>countif(C2:C9,"SALES")</t>
  </si>
  <si>
    <t>SUMIF</t>
  </si>
  <si>
    <t>averagaeif</t>
  </si>
  <si>
    <t>Textual function</t>
  </si>
  <si>
    <t>upper()</t>
  </si>
  <si>
    <t>Mid()</t>
  </si>
  <si>
    <t>left()</t>
  </si>
  <si>
    <t>IFS() FOR MULTIPLE CONDTION</t>
  </si>
  <si>
    <t>Attendance rating</t>
  </si>
  <si>
    <t>ATTENDANCE RATING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</si>
  <si>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</si>
  <si>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</si>
  <si>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</si>
  <si>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</si>
  <si>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</si>
  <si>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</si>
  <si>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</si>
  <si>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</si>
  <si>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</si>
  <si>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</si>
  <si>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</si>
  <si>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</si>
  <si>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</si>
  <si>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</si>
  <si>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</si>
  <si>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</si>
  <si>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</si>
  <si>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</si>
  <si>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</si>
  <si>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</si>
  <si>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</si>
  <si>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</si>
  <si>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</si>
  <si>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</si>
  <si>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</si>
  <si>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</si>
  <si>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</si>
  <si>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</si>
  <si>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</si>
  <si>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</si>
  <si>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</si>
  <si>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</si>
  <si>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</si>
  <si>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</si>
  <si>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</si>
  <si>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</si>
  <si>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</si>
  <si>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</si>
  <si>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</si>
  <si>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</si>
  <si>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</si>
  <si>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</si>
  <si>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</si>
  <si>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</si>
  <si>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</si>
  <si>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</si>
  <si>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</si>
  <si>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</si>
  <si>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</si>
  <si>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</si>
  <si>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</si>
  <si>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</si>
  <si>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</si>
  <si>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</si>
  <si>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</si>
  <si>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</si>
  <si>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</si>
  <si>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</si>
  <si>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</si>
  <si>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</si>
  <si>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</si>
  <si>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</si>
  <si>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</si>
  <si>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</si>
  <si>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</si>
  <si>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</si>
  <si>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</si>
  <si>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</si>
  <si>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</si>
  <si>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</si>
  <si>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</si>
  <si>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</si>
  <si>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</si>
  <si>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</si>
  <si>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</si>
  <si>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</si>
  <si>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</si>
  <si>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</si>
  <si>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</si>
  <si>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</si>
  <si>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</si>
  <si>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</si>
  <si>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</si>
  <si>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</si>
  <si>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</si>
  <si>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</si>
  <si>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</si>
  <si>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</si>
  <si>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</si>
  <si>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</si>
  <si>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</si>
  <si>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</si>
  <si>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</si>
  <si>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• What is the total price of all products in the dataset?</t>
  </si>
  <si>
    <t>1) Sum, Count, Average:</t>
  </si>
  <si>
    <t>• How many products are there in the dataset?</t>
  </si>
  <si>
    <t>• Calculate the average price of the products.</t>
  </si>
  <si>
    <t>2) Min and Max: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</si>
  <si>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</si>
  <si>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</si>
  <si>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</si>
  <si>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Price Range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</si>
  <si>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</si>
  <si>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</si>
  <si>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</si>
  <si>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</si>
  <si>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</si>
  <si>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Day</t>
  </si>
  <si>
    <t>• Create a new column named Country Code by extracting the last 2 characters from the 'Product ID' column using the RIGHT function.</t>
  </si>
  <si>
    <t>Country code</t>
  </si>
  <si>
    <t>• Create a new column named Month by extracting 4th to 6th characters from the 'Product ID' column using the MID function.</t>
  </si>
  <si>
    <t>Month</t>
  </si>
  <si>
    <t xml:space="preserve">	1) Sum, Count, Average:		</t>
  </si>
  <si>
    <t>2) Min and Max</t>
  </si>
  <si>
    <t>SUM(range)  SUM(D2:D35</t>
  </si>
  <si>
    <t>COUNT(range) COUNTA(B2:B35)</t>
  </si>
  <si>
    <t>AVERAGE(range) AVERAGE(D2:D35)</t>
  </si>
  <si>
    <t>Max(range) MAX(D2:D35)</t>
  </si>
  <si>
    <t>MIN(D2:D35)</t>
  </si>
  <si>
    <t>IF(D2:D35&gt;=500,"High price","Standard price")</t>
  </si>
  <si>
    <t>SUMIF(F10:F35,"Electronics",D2:D35)</t>
  </si>
  <si>
    <t>COUNTIF(D2:D35, "&lt;100")</t>
  </si>
  <si>
    <t>LEFT(A2:A35,2)</t>
  </si>
  <si>
    <t>RIGHT(A2:A35,2)</t>
  </si>
  <si>
    <t>MID(A2:A35,"4","3")</t>
  </si>
  <si>
    <t>Steps and Syntax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</si>
</sst>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4DD0E1"/>
        <bgColor indexed="64"/>
      </patternFill>
    </fill>
    <fill>
      <patternFill patternType="solid">
        <fgColor rgb="FFE0F7FA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theme="4"/>
      </left>
      <right style="medium">
        <color rgb="FFCCCCCC"/>
      </right>
      <top style="thin">
        <color theme="4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n">
        <color theme="4"/>
      </top>
      <bottom/>
      <diagonal/>
    </border>
    <border>
      <left style="medium">
        <color rgb="FFCCCCCC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 style="medium">
        <color rgb="FFCCCCCC"/>
      </right>
      <top style="medium">
        <color rgb="FFCCCCCC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indexed="64"/>
      </left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3" fillId="3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right" wrapText="1"/>
    </xf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0" fontId="4" fillId="0" borderId="0" xfId="0" applyFont="1" applyAlignment="1">
      <alignment vertical="center"/>
    </xf>
    <xf numFmtId="0" fontId="3" fillId="0" borderId="0" xfId="0" applyFont="1" applyAlignment="1">
      <alignment wrapText="1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2" fillId="2" borderId="7" xfId="0" applyFont="1" applyFill="1" applyBorder="1" applyAlignment="1">
      <alignment horizontal="center" wrapText="1"/>
    </xf>
    <xf numFmtId="0" fontId="3" fillId="0" borderId="7" xfId="0" applyFont="1" applyBorder="1" applyAlignment="1">
      <alignment horizontal="right" wrapText="1"/>
    </xf>
    <xf numFmtId="0" fontId="3" fillId="3" borderId="7" xfId="0" applyFont="1" applyFill="1" applyBorder="1" applyAlignment="1">
      <alignment horizontal="right" wrapText="1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wrapText="1"/>
    </xf>
    <xf numFmtId="0" fontId="3" fillId="0" borderId="11" xfId="0" applyFont="1" applyBorder="1"/>
    <xf numFmtId="0" fontId="3" fillId="3" borderId="11" xfId="0" applyFont="1" applyFill="1" applyBorder="1"/>
    <xf numFmtId="0" fontId="3" fillId="3" borderId="13" xfId="0" applyFont="1" applyFill="1" applyBorder="1"/>
    <xf numFmtId="0" fontId="0" fillId="0" borderId="14" xfId="0" applyBorder="1"/>
    <xf numFmtId="0" fontId="0" fillId="0" borderId="14" xfId="0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/>
    <xf numFmtId="0" fontId="0" fillId="0" borderId="0" xfId="0" applyFill="1" applyBorder="1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Fill="1" applyBorder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512467-524C-45D7-A131-818BA0016BF3}" name="Table1" displayName="Table1" ref="A1:K9" totalsRowShown="0" headerRowDxfId="3">
  <autoFilter ref="A1:K9" xr:uid="{48512467-524C-45D7-A131-818BA0016BF3}"/>
  <tableColumns count="11">
    <tableColumn id="1" xr3:uid="{B6336598-F882-49C8-8023-EF163F0DE38B}" name="Employee_ID"/>
    <tableColumn id="2" xr3:uid="{85D5EC5F-BC96-4EDD-985F-DD89508805AF}" name="Full_Name"/>
    <tableColumn id="3" xr3:uid="{75AFBCF7-BF6A-47F2-9A89-D384193AD085}" name="Department"/>
    <tableColumn id="4" xr3:uid="{E0A008DA-D810-48A7-869C-1633860BE742}" name="Region"/>
    <tableColumn id="5" xr3:uid="{F106C77A-6336-40E5-BFB5-CC39E17BE50A}" name="Q1_Sales"/>
    <tableColumn id="11" xr3:uid="{AC6F22F7-F7EA-40B9-874A-B42008EA6F4A}" name="Column1" dataDxfId="2">
      <calculatedColumnFormula>IF(Table1[[#This Row],[Q1_Sales]]&gt;=15000,"Bonus","No Bonus")</calculatedColumnFormula>
    </tableColumn>
    <tableColumn id="6" xr3:uid="{B5E0C23A-DCBF-4563-8ED0-76A3C6C00A23}" name="Q2_Sales"/>
    <tableColumn id="12" xr3:uid="{2CB6897D-F495-42E3-B024-07B41B12E221}" name="Column2" dataDxfId="1">
      <calculatedColumnFormula>IF(Table1[[#This Row],[Q2_Sales]]&gt;=15000,"Bonus","No bonus")</calculatedColumnFormula>
    </tableColumn>
    <tableColumn id="8" xr3:uid="{388A4DAA-BE79-4247-8FB4-EA896BB8E732}" name="Attendance_Days"/>
    <tableColumn id="13" xr3:uid="{24BE9F22-C04C-49C6-ABA6-42C83C5C95CA}" name="Attendance rating" dataDxfId="0">
      <calculatedColumnFormula array="1">_xlfn.IFS(Table1[[#This Row],[Attendance_Days]]&gt;=60,"Excellent",Table1[[#This Row],[Attendance_Days]]&gt;=50,"Good", Table1[[#This Row],[Attendance_Days]]&gt;=45,"Average", "true","Poor")</calculatedColumnFormula>
    </tableColumn>
    <tableColumn id="9" xr3:uid="{6FDFAFB3-280B-4375-87C4-76B5AD92DCFD}" name="Performance_Rat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90B3A-BADD-48A0-B183-DDEB2E249E01}">
  <dimension ref="A1:S31"/>
  <sheetViews>
    <sheetView zoomScale="99" zoomScaleNormal="99" workbookViewId="0">
      <selection activeCell="E13" sqref="E13"/>
    </sheetView>
  </sheetViews>
  <sheetFormatPr defaultRowHeight="14.4" x14ac:dyDescent="0.3"/>
  <cols>
    <col min="1" max="1" width="14.109375" customWidth="1"/>
    <col min="2" max="2" width="15.5546875" customWidth="1"/>
    <col min="3" max="3" width="13.109375" customWidth="1"/>
    <col min="5" max="8" width="10.5546875" customWidth="1"/>
    <col min="9" max="10" width="17.88671875" customWidth="1"/>
    <col min="11" max="11" width="20.33203125" customWidth="1"/>
  </cols>
  <sheetData>
    <row r="1" spans="1:19" s="3" customFormat="1" ht="22.8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58</v>
      </c>
      <c r="G1" s="3" t="s">
        <v>5</v>
      </c>
      <c r="H1" s="3" t="s">
        <v>59</v>
      </c>
      <c r="I1" s="3" t="s">
        <v>6</v>
      </c>
      <c r="J1" s="3" t="s">
        <v>69</v>
      </c>
      <c r="K1" s="3" t="s">
        <v>7</v>
      </c>
    </row>
    <row r="2" spans="1:19" x14ac:dyDescent="0.3">
      <c r="A2" t="s">
        <v>8</v>
      </c>
      <c r="B2" t="s">
        <v>9</v>
      </c>
      <c r="C2" t="s">
        <v>10</v>
      </c>
      <c r="D2" t="s">
        <v>11</v>
      </c>
      <c r="E2">
        <v>15000</v>
      </c>
      <c r="F2" t="str">
        <f>IF(Table1[[#This Row],[Q1_Sales]]&gt;=15000,"Bonus","No Bonus")</f>
        <v>Bonus</v>
      </c>
      <c r="G2">
        <v>18500</v>
      </c>
      <c r="H2" t="str">
        <f>IF(Table1[[#This Row],[Q2_Sales]]&gt;=15000,"Bonus","No bonus")</f>
        <v>Bonus</v>
      </c>
      <c r="I2">
        <v>60</v>
      </c>
      <c r="J2" t="str" cm="1">
        <f t="array" ref="J2">_xlfn.IFS(Table1[[#This Row],[Attendance_Days]]&gt;=60,"Excellent",Table1[[#This Row],[Attendance_Days]]&gt;=50,"Good", Table1[[#This Row],[Attendance_Days]]&gt;=45,"Average", "true","Poor")</f>
        <v>Excellent</v>
      </c>
      <c r="K2" t="s">
        <v>12</v>
      </c>
      <c r="M2" t="s">
        <v>47</v>
      </c>
    </row>
    <row r="3" spans="1:19" x14ac:dyDescent="0.3">
      <c r="A3" t="s">
        <v>13</v>
      </c>
      <c r="B3" t="s">
        <v>14</v>
      </c>
      <c r="C3" t="s">
        <v>15</v>
      </c>
      <c r="D3" t="s">
        <v>16</v>
      </c>
      <c r="E3">
        <v>8000</v>
      </c>
      <c r="F3" t="str">
        <f>IF(Table1[[#This Row],[Q1_Sales]]&gt;=15000,"Bonus","No Bonus")</f>
        <v>No Bonus</v>
      </c>
      <c r="G3">
        <v>9200</v>
      </c>
      <c r="H3" t="str">
        <f>IF(Table1[[#This Row],[Q2_Sales]]&gt;=15000,"Bonus","No bonus")</f>
        <v>No bonus</v>
      </c>
      <c r="I3">
        <v>58</v>
      </c>
      <c r="J3" t="str" cm="1">
        <f t="array" ref="J3">_xlfn.IFS(Table1[[#This Row],[Attendance_Days]]&gt;=60,"Excellent",Table1[[#This Row],[Attendance_Days]]&gt;=50,"Good", Table1[[#This Row],[Attendance_Days]]&gt;=45,"Average", "true","Poor")</f>
        <v>Good</v>
      </c>
      <c r="K3" t="s">
        <v>17</v>
      </c>
    </row>
    <row r="4" spans="1:19" x14ac:dyDescent="0.3">
      <c r="A4" t="s">
        <v>18</v>
      </c>
      <c r="B4" t="s">
        <v>19</v>
      </c>
      <c r="C4" t="s">
        <v>10</v>
      </c>
      <c r="D4" t="s">
        <v>20</v>
      </c>
      <c r="E4">
        <v>22000</v>
      </c>
      <c r="F4" t="str">
        <f>IF(Table1[[#This Row],[Q1_Sales]]&gt;=15000,"Bonus","No Bonus")</f>
        <v>Bonus</v>
      </c>
      <c r="G4">
        <v>21000</v>
      </c>
      <c r="H4" t="str">
        <f>IF(Table1[[#This Row],[Q2_Sales]]&gt;=15000,"Bonus","No bonus")</f>
        <v>Bonus</v>
      </c>
      <c r="I4">
        <v>62</v>
      </c>
      <c r="J4" t="str" cm="1">
        <f t="array" ref="J4">_xlfn.IFS(Table1[[#This Row],[Attendance_Days]]&gt;=60,"Excellent",Table1[[#This Row],[Attendance_Days]]&gt;=50,"Good", Table1[[#This Row],[Attendance_Days]]&gt;=45,"Average", "true","Poor")</f>
        <v>Excellent</v>
      </c>
      <c r="K4" t="s">
        <v>12</v>
      </c>
      <c r="M4" t="s">
        <v>35</v>
      </c>
      <c r="O4" t="s">
        <v>39</v>
      </c>
      <c r="P4">
        <f>SUM(E1:E9)</f>
        <v>124000</v>
      </c>
      <c r="Q4" t="s">
        <v>41</v>
      </c>
      <c r="R4">
        <f>SUM(G2:G9)</f>
        <v>125700</v>
      </c>
      <c r="S4" t="s">
        <v>42</v>
      </c>
    </row>
    <row r="5" spans="1:19" x14ac:dyDescent="0.3">
      <c r="A5" t="s">
        <v>21</v>
      </c>
      <c r="B5" t="s">
        <v>22</v>
      </c>
      <c r="C5" t="s">
        <v>23</v>
      </c>
      <c r="D5" t="s">
        <v>11</v>
      </c>
      <c r="E5">
        <v>12000</v>
      </c>
      <c r="F5" t="str">
        <f>IF(Table1[[#This Row],[Q1_Sales]]&gt;=15000,"Bonus","No Bonus")</f>
        <v>No Bonus</v>
      </c>
      <c r="G5">
        <v>12500</v>
      </c>
      <c r="H5" t="str">
        <f>IF(Table1[[#This Row],[Q2_Sales]]&gt;=15000,"Bonus","No bonus")</f>
        <v>No bonus</v>
      </c>
      <c r="I5">
        <v>45</v>
      </c>
      <c r="J5" t="str" cm="1">
        <f t="array" ref="J5">_xlfn.IFS(Table1[[#This Row],[Attendance_Days]]&gt;=60,"Excellent",Table1[[#This Row],[Attendance_Days]]&gt;=50,"Good", Table1[[#This Row],[Attendance_Days]]&gt;=45,"Average", "true","Poor")</f>
        <v>Average</v>
      </c>
      <c r="K5" t="s">
        <v>24</v>
      </c>
      <c r="M5" t="s">
        <v>36</v>
      </c>
      <c r="Q5" t="s">
        <v>43</v>
      </c>
    </row>
    <row r="6" spans="1:19" x14ac:dyDescent="0.3">
      <c r="A6" t="s">
        <v>25</v>
      </c>
      <c r="B6" t="s">
        <v>26</v>
      </c>
      <c r="C6" t="s">
        <v>10</v>
      </c>
      <c r="D6" t="s">
        <v>20</v>
      </c>
      <c r="E6">
        <v>19500</v>
      </c>
      <c r="F6" t="str">
        <f>IF(Table1[[#This Row],[Q1_Sales]]&gt;=15000,"Bonus","No Bonus")</f>
        <v>Bonus</v>
      </c>
      <c r="G6">
        <v>17000</v>
      </c>
      <c r="H6" t="str">
        <f>IF(Table1[[#This Row],[Q2_Sales]]&gt;=15000,"Bonus","No bonus")</f>
        <v>Bonus</v>
      </c>
      <c r="I6">
        <v>59</v>
      </c>
      <c r="J6" t="str" cm="1">
        <f t="array" ref="J6">_xlfn.IFS(Table1[[#This Row],[Attendance_Days]]&gt;=60,"Excellent",Table1[[#This Row],[Attendance_Days]]&gt;=50,"Good", Table1[[#This Row],[Attendance_Days]]&gt;=45,"Average", "true","Poor")</f>
        <v>Good</v>
      </c>
      <c r="K6" t="s">
        <v>17</v>
      </c>
      <c r="M6" t="s">
        <v>38</v>
      </c>
    </row>
    <row r="7" spans="1:19" x14ac:dyDescent="0.3">
      <c r="A7" t="s">
        <v>27</v>
      </c>
      <c r="B7" t="s">
        <v>28</v>
      </c>
      <c r="C7" t="s">
        <v>29</v>
      </c>
      <c r="D7" t="s">
        <v>16</v>
      </c>
      <c r="E7">
        <v>9500</v>
      </c>
      <c r="F7" t="str">
        <f>IF(Table1[[#This Row],[Q1_Sales]]&gt;=15000,"Bonus","No Bonus")</f>
        <v>No Bonus</v>
      </c>
      <c r="G7">
        <v>11000</v>
      </c>
      <c r="H7" t="str">
        <f>IF(Table1[[#This Row],[Q2_Sales]]&gt;=15000,"Bonus","No bonus")</f>
        <v>No bonus</v>
      </c>
      <c r="I7">
        <v>61</v>
      </c>
      <c r="J7" t="str" cm="1">
        <f t="array" ref="J7">_xlfn.IFS(Table1[[#This Row],[Attendance_Days]]&gt;=60,"Excellent",Table1[[#This Row],[Attendance_Days]]&gt;=50,"Good", Table1[[#This Row],[Attendance_Days]]&gt;=45,"Average", "true","Poor")</f>
        <v>Excellent</v>
      </c>
      <c r="K7" t="s">
        <v>17</v>
      </c>
      <c r="M7" t="s">
        <v>37</v>
      </c>
    </row>
    <row r="8" spans="1:19" x14ac:dyDescent="0.3">
      <c r="A8" t="s">
        <v>30</v>
      </c>
      <c r="B8" t="s">
        <v>31</v>
      </c>
      <c r="C8" t="s">
        <v>10</v>
      </c>
      <c r="D8" t="s">
        <v>20</v>
      </c>
      <c r="E8">
        <v>31000</v>
      </c>
      <c r="F8" t="str">
        <f>IF(Table1[[#This Row],[Q1_Sales]]&gt;=15000,"Bonus","No Bonus")</f>
        <v>Bonus</v>
      </c>
      <c r="G8">
        <v>29000</v>
      </c>
      <c r="H8" t="str">
        <f>IF(Table1[[#This Row],[Q2_Sales]]&gt;=15000,"Bonus","No bonus")</f>
        <v>Bonus</v>
      </c>
      <c r="I8">
        <v>64</v>
      </c>
      <c r="J8" t="str" cm="1">
        <f t="array" ref="J8">_xlfn.IFS(Table1[[#This Row],[Attendance_Days]]&gt;=60,"Excellent",Table1[[#This Row],[Attendance_Days]]&gt;=50,"Good", Table1[[#This Row],[Attendance_Days]]&gt;=45,"Average", "true","Poor")</f>
        <v>Excellent</v>
      </c>
      <c r="K8" t="s">
        <v>12</v>
      </c>
      <c r="M8" t="s">
        <v>40</v>
      </c>
    </row>
    <row r="9" spans="1:19" x14ac:dyDescent="0.3">
      <c r="A9" t="s">
        <v>32</v>
      </c>
      <c r="B9" t="s">
        <v>33</v>
      </c>
      <c r="C9" t="s">
        <v>34</v>
      </c>
      <c r="D9" t="s">
        <v>11</v>
      </c>
      <c r="E9">
        <v>7000</v>
      </c>
      <c r="F9" t="str">
        <f>IF(Table1[[#This Row],[Q1_Sales]]&gt;=15000,"Bonus","No Bonus")</f>
        <v>No Bonus</v>
      </c>
      <c r="G9">
        <v>7500</v>
      </c>
      <c r="H9" t="str">
        <f>IF(Table1[[#This Row],[Q2_Sales]]&gt;=15000,"Bonus","No bonus")</f>
        <v>No bonus</v>
      </c>
      <c r="I9">
        <v>55</v>
      </c>
      <c r="J9" t="str" cm="1">
        <f t="array" ref="J9">_xlfn.IFS(Table1[[#This Row],[Attendance_Days]]&gt;=60,"Excellent",Table1[[#This Row],[Attendance_Days]]&gt;=50,"Good", Table1[[#This Row],[Attendance_Days]]&gt;=45,"Average", "true","Poor")</f>
        <v>Good</v>
      </c>
      <c r="K9" t="s">
        <v>24</v>
      </c>
      <c r="M9" t="s">
        <v>44</v>
      </c>
      <c r="N9" t="s">
        <v>45</v>
      </c>
      <c r="P9">
        <f>COUNT(E2:E9)</f>
        <v>8</v>
      </c>
    </row>
    <row r="10" spans="1:19" x14ac:dyDescent="0.3">
      <c r="A10" t="s">
        <v>49</v>
      </c>
      <c r="E10">
        <f>SUM(E2:E9)</f>
        <v>124000</v>
      </c>
      <c r="G10">
        <f>SUM(G2:G9)</f>
        <v>125700</v>
      </c>
    </row>
    <row r="11" spans="1:19" x14ac:dyDescent="0.3">
      <c r="A11" t="s">
        <v>48</v>
      </c>
      <c r="E11">
        <f>MIN(E2:E9)</f>
        <v>7000</v>
      </c>
      <c r="G11">
        <f>MIN(G2:G9)</f>
        <v>7500</v>
      </c>
      <c r="M11" s="34" t="s">
        <v>46</v>
      </c>
      <c r="N11" s="34"/>
    </row>
    <row r="12" spans="1:19" x14ac:dyDescent="0.3">
      <c r="A12" t="s">
        <v>50</v>
      </c>
      <c r="E12">
        <f>MAX(E2:E9)</f>
        <v>31000</v>
      </c>
      <c r="G12">
        <f>MAX(G2:G9)</f>
        <v>29000</v>
      </c>
      <c r="M12" s="34"/>
      <c r="N12" s="34"/>
    </row>
    <row r="13" spans="1:19" x14ac:dyDescent="0.3">
      <c r="A13" t="s">
        <v>51</v>
      </c>
      <c r="E13">
        <f>COUNT(E2:E9)</f>
        <v>8</v>
      </c>
      <c r="G13">
        <f>COUNT(G2:G9)</f>
        <v>8</v>
      </c>
      <c r="M13" s="34"/>
      <c r="N13" s="34"/>
      <c r="Q13" t="e">
        <f>ROUND(#REF!,2)</f>
        <v>#REF!</v>
      </c>
    </row>
    <row r="14" spans="1:19" x14ac:dyDescent="0.3">
      <c r="A14" t="s">
        <v>52</v>
      </c>
      <c r="E14">
        <f>COUNTA(E2:E9)</f>
        <v>8</v>
      </c>
      <c r="G14">
        <f>COUNTA(G2:G9)</f>
        <v>8</v>
      </c>
    </row>
    <row r="15" spans="1:19" x14ac:dyDescent="0.3">
      <c r="A15" t="s">
        <v>53</v>
      </c>
      <c r="E15">
        <f>COUNTBLANK(E2:E9)</f>
        <v>0</v>
      </c>
      <c r="G15">
        <f>COUNTBLANK(G2:G9)</f>
        <v>0</v>
      </c>
    </row>
    <row r="16" spans="1:19" x14ac:dyDescent="0.3">
      <c r="A16" t="s">
        <v>54</v>
      </c>
      <c r="E16">
        <f>AVERAGE(E2:E9)</f>
        <v>15500</v>
      </c>
      <c r="G16">
        <f>AVERAGE(G2:G9)</f>
        <v>15712.5</v>
      </c>
    </row>
    <row r="17" spans="1:7" x14ac:dyDescent="0.3">
      <c r="A17" t="s">
        <v>55</v>
      </c>
      <c r="E17">
        <f>LARGE(E2:E9,2)</f>
        <v>22000</v>
      </c>
      <c r="G17">
        <f>LARGE(G2:G9,2)</f>
        <v>21000</v>
      </c>
    </row>
    <row r="18" spans="1:7" x14ac:dyDescent="0.3">
      <c r="A18" t="s">
        <v>56</v>
      </c>
      <c r="G18">
        <f>ROUND(G16,0)</f>
        <v>15713</v>
      </c>
    </row>
    <row r="19" spans="1:7" x14ac:dyDescent="0.3">
      <c r="A19" t="s">
        <v>57</v>
      </c>
    </row>
    <row r="20" spans="1:7" x14ac:dyDescent="0.3">
      <c r="A20" t="s">
        <v>60</v>
      </c>
      <c r="C20">
        <f>COUNTIF(Table1[Department],"sales")</f>
        <v>4</v>
      </c>
    </row>
    <row r="21" spans="1:7" x14ac:dyDescent="0.3">
      <c r="A21" t="s">
        <v>61</v>
      </c>
      <c r="C21">
        <f>COUNTIF(Table1[Department],"IT")</f>
        <v>1</v>
      </c>
    </row>
    <row r="22" spans="1:7" x14ac:dyDescent="0.3">
      <c r="A22" t="s">
        <v>23</v>
      </c>
    </row>
    <row r="23" spans="1:7" x14ac:dyDescent="0.3">
      <c r="A23" t="s">
        <v>62</v>
      </c>
      <c r="E23">
        <f>SUMIF(Table1[Department],"sales",Table1[Q1_Sales])</f>
        <v>87500</v>
      </c>
      <c r="G23">
        <f>SUMIF(Table1[Department],"sales",Table1[Q2_Sales])</f>
        <v>85500</v>
      </c>
    </row>
    <row r="24" spans="1:7" x14ac:dyDescent="0.3">
      <c r="A24" t="s">
        <v>63</v>
      </c>
      <c r="E24">
        <f>AVERAGEIF(Table1[Region],"North",Table1[Q1_Sales])</f>
        <v>11333.333333333334</v>
      </c>
    </row>
    <row r="26" spans="1:7" x14ac:dyDescent="0.3">
      <c r="B26" t="s">
        <v>64</v>
      </c>
    </row>
    <row r="27" spans="1:7" x14ac:dyDescent="0.3">
      <c r="B27" t="s">
        <v>65</v>
      </c>
      <c r="D27" t="str">
        <f>UPPER(B3)</f>
        <v>BOB JONES</v>
      </c>
    </row>
    <row r="28" spans="1:7" x14ac:dyDescent="0.3">
      <c r="B28" t="s">
        <v>66</v>
      </c>
      <c r="D28" t="str">
        <f>MID(A2,5,3)</f>
        <v>101</v>
      </c>
    </row>
    <row r="29" spans="1:7" x14ac:dyDescent="0.3">
      <c r="B29" t="s">
        <v>67</v>
      </c>
      <c r="D29" t="str">
        <f>LEFT(A2,3)</f>
        <v>EMP</v>
      </c>
    </row>
    <row r="31" spans="1:7" x14ac:dyDescent="0.3">
      <c r="A31" t="s">
        <v>68</v>
      </c>
      <c r="C31" t="s">
        <v>70</v>
      </c>
    </row>
  </sheetData>
  <mergeCells count="1">
    <mergeCell ref="M11:N13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CECCA-E728-4005-B721-190AEAF255C1}">
  <dimension ref="A1:U37"/>
  <sheetViews>
    <sheetView zoomScale="63" zoomScaleNormal="63" workbookViewId="0">
      <selection activeCell="J3" sqref="J3"/>
    </sheetView>
  </sheetViews>
  <sheetFormatPr defaultRowHeight="14.4" x14ac:dyDescent="0.3"/>
  <cols>
    <col min="1" max="1" width="17.33203125" customWidth="1"/>
    <col min="2" max="2" width="16.33203125" customWidth="1"/>
    <col min="3" max="3" width="15.21875" customWidth="1"/>
    <col min="5" max="5" width="9.44140625" customWidth="1"/>
    <col min="6" max="6" width="28" customWidth="1"/>
    <col min="7" max="7" width="13.6640625" customWidth="1"/>
    <col min="8" max="8" width="8.88671875" style="2"/>
    <col min="9" max="9" width="10.109375" style="1" customWidth="1"/>
    <col min="10" max="10" width="8.88671875" style="1"/>
    <col min="12" max="12" width="49.109375" customWidth="1"/>
  </cols>
  <sheetData>
    <row r="1" spans="1:18" ht="27.6" thickBot="1" x14ac:dyDescent="0.35">
      <c r="A1" s="4" t="s">
        <v>71</v>
      </c>
      <c r="B1" s="4" t="s">
        <v>72</v>
      </c>
      <c r="C1" s="4" t="s">
        <v>73</v>
      </c>
      <c r="D1" s="4" t="s">
        <v>74</v>
      </c>
      <c r="E1" s="19" t="s">
        <v>75</v>
      </c>
      <c r="F1" s="22" t="s">
        <v>76</v>
      </c>
      <c r="G1" s="23" t="s">
        <v>172</v>
      </c>
      <c r="H1" s="24" t="s">
        <v>178</v>
      </c>
      <c r="I1" s="23" t="s">
        <v>180</v>
      </c>
      <c r="J1" s="25" t="s">
        <v>182</v>
      </c>
    </row>
    <row r="2" spans="1:18" ht="16.2" thickBot="1" x14ac:dyDescent="0.35">
      <c r="A2" s="5" t="s">
        <v>77</v>
      </c>
      <c r="B2" s="5" t="s">
        <v>78</v>
      </c>
      <c r="C2" s="5" t="s">
        <v>79</v>
      </c>
      <c r="D2" s="6">
        <v>1000</v>
      </c>
      <c r="E2" s="20">
        <v>30</v>
      </c>
      <c r="F2" s="26" t="s">
        <v>80</v>
      </c>
      <c r="G2" t="str" cm="1">
        <f t="array" ref="G2:G35">IF(D2:D35&gt;=500,"High price","Standard price")</f>
        <v>High price</v>
      </c>
      <c r="H2" s="2" t="str" cm="1">
        <f t="array" ref="H2:H35">LEFT(A2:A35,2)</f>
        <v>28</v>
      </c>
      <c r="I2" s="1" t="str" cm="1">
        <f t="array" ref="I2:I35">RIGHT(A2:A35,2)</f>
        <v>US</v>
      </c>
      <c r="J2" s="32" t="str" cm="1">
        <f t="array" ref="J2:J35">MID(A2:A35,"4","3")</f>
        <v>JAN</v>
      </c>
      <c r="K2" s="13"/>
      <c r="L2" s="14" t="s">
        <v>165</v>
      </c>
      <c r="O2" s="9"/>
      <c r="P2" s="9"/>
      <c r="Q2" s="9"/>
      <c r="R2" s="10"/>
    </row>
    <row r="3" spans="1:18" ht="15" thickBot="1" x14ac:dyDescent="0.35">
      <c r="A3" s="7" t="s">
        <v>81</v>
      </c>
      <c r="B3" s="7" t="s">
        <v>82</v>
      </c>
      <c r="C3" s="7" t="s">
        <v>83</v>
      </c>
      <c r="D3" s="8">
        <v>80</v>
      </c>
      <c r="E3" s="21">
        <v>15</v>
      </c>
      <c r="F3" s="27" t="s">
        <v>84</v>
      </c>
      <c r="G3" t="str">
        <v>Standard price</v>
      </c>
      <c r="H3" s="2" t="str">
        <v>15</v>
      </c>
      <c r="I3" s="17" t="str">
        <v>US</v>
      </c>
      <c r="J3" s="32" t="str">
        <v>FEB</v>
      </c>
      <c r="K3" s="3"/>
      <c r="L3" s="3"/>
      <c r="M3" s="3"/>
      <c r="N3" s="3"/>
      <c r="O3" s="3"/>
      <c r="P3" s="3"/>
      <c r="Q3" s="3"/>
      <c r="R3" s="11"/>
    </row>
    <row r="4" spans="1:18" ht="16.2" thickBot="1" x14ac:dyDescent="0.35">
      <c r="A4" s="5" t="s">
        <v>85</v>
      </c>
      <c r="B4" s="5" t="s">
        <v>86</v>
      </c>
      <c r="C4" s="5" t="s">
        <v>87</v>
      </c>
      <c r="D4" s="6">
        <v>130</v>
      </c>
      <c r="E4" s="20">
        <v>40</v>
      </c>
      <c r="F4" s="26" t="s">
        <v>88</v>
      </c>
      <c r="G4" t="str">
        <v>Standard price</v>
      </c>
      <c r="H4" s="2" t="str">
        <v>03</v>
      </c>
      <c r="I4" s="1" t="str">
        <v>US</v>
      </c>
      <c r="J4" s="32" t="str">
        <v>MAR</v>
      </c>
      <c r="K4" s="13"/>
      <c r="L4" s="12" t="s">
        <v>164</v>
      </c>
      <c r="M4" s="13"/>
      <c r="N4" s="9"/>
      <c r="O4" s="9"/>
      <c r="P4" s="3"/>
      <c r="Q4" s="3"/>
      <c r="R4" s="11"/>
    </row>
    <row r="5" spans="1:18" ht="15" thickBot="1" x14ac:dyDescent="0.35">
      <c r="A5" s="7" t="s">
        <v>89</v>
      </c>
      <c r="B5" s="7" t="s">
        <v>90</v>
      </c>
      <c r="C5" s="7" t="s">
        <v>91</v>
      </c>
      <c r="D5" s="8">
        <v>900</v>
      </c>
      <c r="E5" s="21">
        <v>25</v>
      </c>
      <c r="F5" s="27" t="s">
        <v>80</v>
      </c>
      <c r="G5" t="str">
        <v>High price</v>
      </c>
      <c r="H5" s="2" t="str">
        <v>11</v>
      </c>
      <c r="I5" s="17" t="str">
        <v>US</v>
      </c>
      <c r="J5" s="32" t="str">
        <v>APR</v>
      </c>
      <c r="K5" s="3"/>
      <c r="L5" s="15">
        <f>SUM(D2:D35)</f>
        <v>10100</v>
      </c>
      <c r="M5" s="3"/>
      <c r="N5" s="3"/>
      <c r="O5" s="3"/>
      <c r="P5" s="3"/>
      <c r="Q5" s="3"/>
      <c r="R5" s="11"/>
    </row>
    <row r="6" spans="1:18" ht="15" thickBot="1" x14ac:dyDescent="0.35">
      <c r="A6" s="5" t="s">
        <v>92</v>
      </c>
      <c r="B6" s="5" t="s">
        <v>93</v>
      </c>
      <c r="C6" s="5" t="s">
        <v>94</v>
      </c>
      <c r="D6" s="6">
        <v>70</v>
      </c>
      <c r="E6" s="20">
        <v>20</v>
      </c>
      <c r="F6" s="26" t="s">
        <v>95</v>
      </c>
      <c r="G6" t="str">
        <v>Standard price</v>
      </c>
      <c r="H6" s="2" t="str">
        <v>22</v>
      </c>
      <c r="I6" s="17" t="str">
        <v>US</v>
      </c>
      <c r="J6" s="32" t="str">
        <v>MAY</v>
      </c>
      <c r="K6" s="3"/>
      <c r="L6" s="3"/>
      <c r="M6" s="3"/>
      <c r="N6" s="3"/>
      <c r="O6" s="3"/>
      <c r="P6" s="3"/>
      <c r="Q6" s="3"/>
      <c r="R6" s="11"/>
    </row>
    <row r="7" spans="1:18" ht="16.2" thickBot="1" x14ac:dyDescent="0.35">
      <c r="A7" s="7" t="s">
        <v>96</v>
      </c>
      <c r="B7" s="7" t="s">
        <v>97</v>
      </c>
      <c r="C7" s="7" t="s">
        <v>98</v>
      </c>
      <c r="D7" s="8">
        <v>200</v>
      </c>
      <c r="E7" s="21">
        <v>45</v>
      </c>
      <c r="F7" s="27" t="s">
        <v>80</v>
      </c>
      <c r="G7" t="str">
        <v>Standard price</v>
      </c>
      <c r="H7" s="2" t="str">
        <v>07</v>
      </c>
      <c r="I7" s="17" t="str">
        <v>UK</v>
      </c>
      <c r="J7" s="32" t="str">
        <v>JUN</v>
      </c>
      <c r="K7" s="13"/>
      <c r="L7" s="12" t="s">
        <v>166</v>
      </c>
      <c r="M7" s="13"/>
      <c r="N7" s="3"/>
      <c r="O7" s="3"/>
      <c r="P7" s="3"/>
      <c r="Q7" s="3"/>
      <c r="R7" s="11"/>
    </row>
    <row r="8" spans="1:18" ht="15" thickBot="1" x14ac:dyDescent="0.35">
      <c r="A8" s="5" t="s">
        <v>99</v>
      </c>
      <c r="B8" s="5" t="s">
        <v>100</v>
      </c>
      <c r="C8" s="5" t="s">
        <v>101</v>
      </c>
      <c r="D8" s="6">
        <v>30</v>
      </c>
      <c r="E8" s="20">
        <v>5</v>
      </c>
      <c r="F8" s="26" t="s">
        <v>84</v>
      </c>
      <c r="G8" t="str">
        <v>Standard price</v>
      </c>
      <c r="H8" s="2" t="str">
        <v>19</v>
      </c>
      <c r="I8" s="17" t="str">
        <v>UK</v>
      </c>
      <c r="J8" s="32" t="str">
        <v>JUL</v>
      </c>
      <c r="K8" s="3"/>
      <c r="L8" s="16">
        <f>COUNTA(B2:B35)</f>
        <v>34</v>
      </c>
      <c r="M8" s="3"/>
      <c r="N8" s="3"/>
      <c r="O8" s="3"/>
      <c r="P8" s="3"/>
      <c r="Q8" s="3"/>
      <c r="R8" s="11"/>
    </row>
    <row r="9" spans="1:18" ht="15" thickBot="1" x14ac:dyDescent="0.35">
      <c r="A9" s="7" t="s">
        <v>102</v>
      </c>
      <c r="B9" s="7" t="s">
        <v>103</v>
      </c>
      <c r="C9" s="7" t="s">
        <v>104</v>
      </c>
      <c r="D9" s="8">
        <v>90</v>
      </c>
      <c r="E9" s="21">
        <v>35</v>
      </c>
      <c r="F9" s="27" t="s">
        <v>88</v>
      </c>
      <c r="G9" t="str">
        <v>Standard price</v>
      </c>
      <c r="H9" s="2" t="str">
        <v>23</v>
      </c>
      <c r="I9" s="17" t="str">
        <v>UK</v>
      </c>
      <c r="J9" s="32" t="str">
        <v>AUG</v>
      </c>
      <c r="K9" s="3"/>
      <c r="L9" s="3"/>
      <c r="M9" s="3"/>
      <c r="N9" s="3"/>
      <c r="O9" s="3"/>
      <c r="P9" s="3"/>
      <c r="Q9" s="3"/>
      <c r="R9" s="11"/>
    </row>
    <row r="10" spans="1:18" ht="16.2" thickBot="1" x14ac:dyDescent="0.35">
      <c r="A10" s="5" t="s">
        <v>105</v>
      </c>
      <c r="B10" s="5" t="s">
        <v>106</v>
      </c>
      <c r="C10" s="5" t="s">
        <v>107</v>
      </c>
      <c r="D10" s="6">
        <v>500</v>
      </c>
      <c r="E10" s="20">
        <v>50</v>
      </c>
      <c r="F10" s="26" t="s">
        <v>80</v>
      </c>
      <c r="G10" t="str">
        <v>High price</v>
      </c>
      <c r="H10" s="2" t="str">
        <v>05</v>
      </c>
      <c r="I10" s="17" t="str">
        <v>UK</v>
      </c>
      <c r="J10" s="32" t="str">
        <v>SEP</v>
      </c>
      <c r="K10" s="13"/>
      <c r="L10" s="12" t="s">
        <v>167</v>
      </c>
      <c r="M10" s="13"/>
      <c r="N10" s="12"/>
      <c r="O10" s="3"/>
      <c r="P10" s="3"/>
      <c r="Q10" s="3"/>
      <c r="R10" s="11"/>
    </row>
    <row r="11" spans="1:18" ht="15" thickBot="1" x14ac:dyDescent="0.35">
      <c r="A11" s="7" t="s">
        <v>108</v>
      </c>
      <c r="B11" s="7" t="s">
        <v>109</v>
      </c>
      <c r="C11" s="7" t="s">
        <v>110</v>
      </c>
      <c r="D11" s="8">
        <v>130</v>
      </c>
      <c r="E11" s="21">
        <v>10</v>
      </c>
      <c r="F11" s="27" t="s">
        <v>95</v>
      </c>
      <c r="G11" t="str">
        <v>Standard price</v>
      </c>
      <c r="H11" s="2" t="str">
        <v>14</v>
      </c>
      <c r="I11" s="17" t="str">
        <v>UK</v>
      </c>
      <c r="J11" s="32" t="str">
        <v>OCT</v>
      </c>
      <c r="K11" s="3"/>
      <c r="L11" s="16">
        <f>AVERAGE(D2:D35)</f>
        <v>297.05882352941177</v>
      </c>
      <c r="M11" s="3"/>
      <c r="N11" s="3"/>
      <c r="O11" s="3"/>
      <c r="P11" s="3"/>
      <c r="Q11" s="3"/>
      <c r="R11" s="11"/>
    </row>
    <row r="12" spans="1:18" ht="15" thickBot="1" x14ac:dyDescent="0.35">
      <c r="A12" s="5" t="s">
        <v>111</v>
      </c>
      <c r="B12" s="5" t="s">
        <v>78</v>
      </c>
      <c r="C12" s="5" t="s">
        <v>112</v>
      </c>
      <c r="D12" s="6">
        <v>950</v>
      </c>
      <c r="E12" s="20">
        <v>25</v>
      </c>
      <c r="F12" s="26" t="s">
        <v>80</v>
      </c>
      <c r="G12" t="str">
        <v>High price</v>
      </c>
      <c r="H12" s="2" t="str">
        <v>17</v>
      </c>
      <c r="I12" s="17" t="str">
        <v>IN</v>
      </c>
      <c r="J12" s="32" t="str">
        <v>JUN</v>
      </c>
      <c r="K12" s="3"/>
      <c r="L12" s="3"/>
      <c r="M12" s="3"/>
      <c r="N12" s="3"/>
      <c r="O12" s="3"/>
      <c r="P12" s="3"/>
      <c r="Q12" s="3"/>
      <c r="R12" s="11"/>
    </row>
    <row r="13" spans="1:18" ht="16.2" thickBot="1" x14ac:dyDescent="0.35">
      <c r="A13" s="7" t="s">
        <v>113</v>
      </c>
      <c r="B13" s="7" t="s">
        <v>82</v>
      </c>
      <c r="C13" s="7" t="s">
        <v>101</v>
      </c>
      <c r="D13" s="8">
        <v>90</v>
      </c>
      <c r="E13" s="21">
        <v>40</v>
      </c>
      <c r="F13" s="27" t="s">
        <v>84</v>
      </c>
      <c r="G13" t="str">
        <v>Standard price</v>
      </c>
      <c r="H13" s="2" t="str">
        <v>25</v>
      </c>
      <c r="I13" s="17" t="str">
        <v>AU</v>
      </c>
      <c r="J13" s="32" t="str">
        <v>NOV</v>
      </c>
      <c r="K13" s="13"/>
      <c r="L13" s="14" t="s">
        <v>168</v>
      </c>
      <c r="M13" s="3"/>
      <c r="N13" s="3"/>
      <c r="O13" s="3"/>
      <c r="P13" s="3"/>
      <c r="Q13" s="3"/>
      <c r="R13" s="11"/>
    </row>
    <row r="14" spans="1:18" ht="15" thickBot="1" x14ac:dyDescent="0.35">
      <c r="A14" s="5" t="s">
        <v>114</v>
      </c>
      <c r="B14" s="5" t="s">
        <v>86</v>
      </c>
      <c r="C14" s="5" t="s">
        <v>115</v>
      </c>
      <c r="D14" s="6">
        <v>120</v>
      </c>
      <c r="E14" s="20">
        <v>35</v>
      </c>
      <c r="F14" s="26" t="s">
        <v>88</v>
      </c>
      <c r="G14" t="str">
        <v>Standard price</v>
      </c>
      <c r="H14" s="2" t="str">
        <v>08</v>
      </c>
      <c r="I14" s="17" t="str">
        <v>DE</v>
      </c>
      <c r="J14" s="32" t="str">
        <v>DEC</v>
      </c>
      <c r="K14" s="3"/>
      <c r="L14" s="3"/>
      <c r="M14" s="3"/>
      <c r="N14" s="3"/>
      <c r="O14" s="3"/>
      <c r="P14" s="3"/>
      <c r="Q14" s="3"/>
      <c r="R14" s="11"/>
    </row>
    <row r="15" spans="1:18" ht="16.2" thickBot="1" x14ac:dyDescent="0.35">
      <c r="A15" s="7" t="s">
        <v>116</v>
      </c>
      <c r="B15" s="7" t="s">
        <v>117</v>
      </c>
      <c r="C15" s="7" t="s">
        <v>118</v>
      </c>
      <c r="D15" s="8">
        <v>150</v>
      </c>
      <c r="E15" s="21">
        <v>15</v>
      </c>
      <c r="F15" s="27" t="s">
        <v>80</v>
      </c>
      <c r="G15" t="str">
        <v>Standard price</v>
      </c>
      <c r="H15" s="2" t="str">
        <v>18</v>
      </c>
      <c r="I15" s="17" t="str">
        <v>CA</v>
      </c>
      <c r="J15" s="32" t="str">
        <v>FEB</v>
      </c>
      <c r="K15" s="13"/>
      <c r="L15" s="12"/>
      <c r="M15" s="13"/>
      <c r="N15" s="3"/>
      <c r="O15" s="3"/>
      <c r="P15" s="3"/>
      <c r="Q15" s="3"/>
      <c r="R15" s="11"/>
    </row>
    <row r="16" spans="1:18" ht="15" thickBot="1" x14ac:dyDescent="0.35">
      <c r="A16" s="5" t="s">
        <v>119</v>
      </c>
      <c r="B16" s="5" t="s">
        <v>97</v>
      </c>
      <c r="C16" s="5" t="s">
        <v>120</v>
      </c>
      <c r="D16" s="6">
        <v>250</v>
      </c>
      <c r="E16" s="20">
        <v>20</v>
      </c>
      <c r="F16" s="26" t="s">
        <v>80</v>
      </c>
      <c r="G16" t="str">
        <v>Standard price</v>
      </c>
      <c r="H16" s="2" t="str">
        <v>16</v>
      </c>
      <c r="I16" s="17" t="str">
        <v>ES</v>
      </c>
      <c r="J16" s="32" t="str">
        <v>APR</v>
      </c>
      <c r="K16" s="3"/>
      <c r="L16" s="16">
        <f>MIN(D2:D35)</f>
        <v>30</v>
      </c>
      <c r="M16" s="3"/>
      <c r="N16" s="3"/>
      <c r="O16" s="3"/>
      <c r="P16" s="3"/>
      <c r="Q16" s="3"/>
      <c r="R16" s="11"/>
    </row>
    <row r="17" spans="1:21" ht="15" thickBot="1" x14ac:dyDescent="0.35">
      <c r="A17" s="7" t="s">
        <v>121</v>
      </c>
      <c r="B17" s="7" t="s">
        <v>122</v>
      </c>
      <c r="C17" s="7" t="s">
        <v>123</v>
      </c>
      <c r="D17" s="8">
        <v>50</v>
      </c>
      <c r="E17" s="21">
        <v>35</v>
      </c>
      <c r="F17" s="27" t="s">
        <v>124</v>
      </c>
      <c r="G17" t="str">
        <v>Standard price</v>
      </c>
      <c r="H17" s="2" t="str">
        <v>21</v>
      </c>
      <c r="I17" s="17" t="str">
        <v>CA</v>
      </c>
      <c r="J17" s="32" t="str">
        <v>AUG</v>
      </c>
      <c r="K17" s="3"/>
      <c r="M17" s="3"/>
      <c r="N17" s="3"/>
      <c r="O17" s="3"/>
      <c r="P17" s="3"/>
      <c r="Q17" s="3"/>
      <c r="R17" s="11"/>
    </row>
    <row r="18" spans="1:21" ht="16.2" thickBot="1" x14ac:dyDescent="0.35">
      <c r="A18" s="5" t="s">
        <v>125</v>
      </c>
      <c r="B18" s="5" t="s">
        <v>117</v>
      </c>
      <c r="C18" s="5" t="s">
        <v>126</v>
      </c>
      <c r="D18" s="6">
        <v>160</v>
      </c>
      <c r="E18" s="20">
        <v>15</v>
      </c>
      <c r="F18" s="26" t="s">
        <v>80</v>
      </c>
      <c r="G18" t="str">
        <v>Standard price</v>
      </c>
      <c r="H18" s="2" t="str">
        <v>20</v>
      </c>
      <c r="I18" s="17" t="str">
        <v>CN</v>
      </c>
      <c r="J18" s="32" t="str">
        <v>AUG</v>
      </c>
      <c r="K18" s="3"/>
      <c r="L18" s="12" t="s">
        <v>169</v>
      </c>
      <c r="M18" s="3"/>
      <c r="N18" s="3"/>
      <c r="O18" s="3"/>
      <c r="P18" s="3"/>
      <c r="Q18" s="3"/>
      <c r="R18" s="11"/>
    </row>
    <row r="19" spans="1:21" ht="15" thickBot="1" x14ac:dyDescent="0.35">
      <c r="A19" s="7" t="s">
        <v>127</v>
      </c>
      <c r="B19" s="7" t="s">
        <v>78</v>
      </c>
      <c r="C19" s="7" t="s">
        <v>128</v>
      </c>
      <c r="D19" s="8">
        <v>980</v>
      </c>
      <c r="E19" s="21">
        <v>10</v>
      </c>
      <c r="F19" s="27" t="s">
        <v>80</v>
      </c>
      <c r="G19" t="str">
        <v>High price</v>
      </c>
      <c r="H19" s="2" t="str">
        <v>27</v>
      </c>
      <c r="I19" s="17" t="str">
        <v>IT</v>
      </c>
      <c r="J19" s="32" t="str">
        <v>JAN</v>
      </c>
      <c r="K19" s="13"/>
      <c r="L19" s="16">
        <f>MAX(D2:D35)</f>
        <v>1000</v>
      </c>
      <c r="M19" s="13"/>
      <c r="N19" s="3"/>
      <c r="O19" s="3"/>
      <c r="P19" s="3"/>
      <c r="Q19" s="3"/>
      <c r="R19" s="11"/>
    </row>
    <row r="20" spans="1:21" ht="15" thickBot="1" x14ac:dyDescent="0.35">
      <c r="A20" s="5" t="s">
        <v>129</v>
      </c>
      <c r="B20" s="5" t="s">
        <v>130</v>
      </c>
      <c r="C20" s="5" t="s">
        <v>131</v>
      </c>
      <c r="D20" s="6">
        <v>150</v>
      </c>
      <c r="E20" s="20">
        <v>15</v>
      </c>
      <c r="F20" s="26" t="s">
        <v>84</v>
      </c>
      <c r="G20" t="str">
        <v>Standard price</v>
      </c>
      <c r="H20" s="2" t="str">
        <v>01</v>
      </c>
      <c r="I20" s="17" t="str">
        <v>UK</v>
      </c>
      <c r="J20" s="32" t="str">
        <v>MAR</v>
      </c>
      <c r="K20" s="3"/>
      <c r="L20" s="3"/>
      <c r="M20" s="3"/>
      <c r="N20" s="3"/>
      <c r="O20" s="3"/>
      <c r="P20" s="3"/>
      <c r="Q20" s="3"/>
      <c r="R20" s="11"/>
    </row>
    <row r="21" spans="1:21" ht="16.2" thickBot="1" x14ac:dyDescent="0.35">
      <c r="A21" s="7" t="s">
        <v>132</v>
      </c>
      <c r="B21" s="7" t="s">
        <v>133</v>
      </c>
      <c r="C21" s="7" t="s">
        <v>134</v>
      </c>
      <c r="D21" s="8">
        <v>200</v>
      </c>
      <c r="E21" s="21">
        <v>10</v>
      </c>
      <c r="F21" s="27" t="s">
        <v>95</v>
      </c>
      <c r="G21" t="str">
        <v>Standard price</v>
      </c>
      <c r="H21" s="2" t="str">
        <v>14</v>
      </c>
      <c r="I21" s="17" t="str">
        <v>US</v>
      </c>
      <c r="J21" s="32" t="str">
        <v>AUG</v>
      </c>
      <c r="K21" s="13"/>
      <c r="L21" s="14" t="s">
        <v>170</v>
      </c>
      <c r="M21" s="3"/>
      <c r="N21" s="3"/>
      <c r="O21" s="3"/>
      <c r="P21" s="3"/>
      <c r="Q21" s="3"/>
      <c r="R21" s="11"/>
    </row>
    <row r="22" spans="1:21" ht="15" thickBot="1" x14ac:dyDescent="0.35">
      <c r="A22" s="5" t="s">
        <v>135</v>
      </c>
      <c r="B22" s="5" t="s">
        <v>136</v>
      </c>
      <c r="C22" s="5" t="s">
        <v>137</v>
      </c>
      <c r="D22" s="6">
        <v>700</v>
      </c>
      <c r="E22" s="20">
        <v>50</v>
      </c>
      <c r="F22" s="26" t="s">
        <v>80</v>
      </c>
      <c r="G22" t="str">
        <v>High price</v>
      </c>
      <c r="H22" s="2" t="str">
        <v>14</v>
      </c>
      <c r="I22" s="17" t="str">
        <v>RU</v>
      </c>
      <c r="J22" s="32" t="str">
        <v>MAY</v>
      </c>
      <c r="K22" s="3"/>
      <c r="L22" s="3"/>
      <c r="M22" s="3"/>
      <c r="N22" s="3"/>
      <c r="O22" s="3"/>
      <c r="P22" s="3"/>
      <c r="Q22" s="3"/>
      <c r="R22" s="11"/>
    </row>
    <row r="23" spans="1:21" ht="16.2" thickBot="1" x14ac:dyDescent="0.35">
      <c r="A23" s="7" t="s">
        <v>138</v>
      </c>
      <c r="B23" s="7" t="s">
        <v>139</v>
      </c>
      <c r="C23" s="7" t="s">
        <v>140</v>
      </c>
      <c r="D23" s="8">
        <v>80</v>
      </c>
      <c r="E23" s="21">
        <v>20</v>
      </c>
      <c r="F23" s="27" t="s">
        <v>88</v>
      </c>
      <c r="G23" t="str">
        <v>Standard price</v>
      </c>
      <c r="H23" s="2" t="str">
        <v>09</v>
      </c>
      <c r="I23" s="17" t="str">
        <v>CA</v>
      </c>
      <c r="J23" s="32" t="str">
        <v>JAN</v>
      </c>
      <c r="K23" s="13"/>
      <c r="L23" s="12" t="s">
        <v>171</v>
      </c>
      <c r="M23" s="13"/>
      <c r="N23" s="13"/>
      <c r="O23" s="13"/>
      <c r="P23" s="13"/>
      <c r="Q23" s="13"/>
      <c r="R23" s="13"/>
      <c r="S23" s="13"/>
      <c r="T23" s="13"/>
      <c r="U23" s="13"/>
    </row>
    <row r="24" spans="1:21" ht="15" thickBot="1" x14ac:dyDescent="0.35">
      <c r="A24" s="5" t="s">
        <v>141</v>
      </c>
      <c r="B24" s="5" t="s">
        <v>142</v>
      </c>
      <c r="C24" s="5" t="s">
        <v>143</v>
      </c>
      <c r="D24" s="6">
        <v>150</v>
      </c>
      <c r="E24" s="20">
        <v>30</v>
      </c>
      <c r="F24" s="26" t="s">
        <v>80</v>
      </c>
      <c r="G24" t="str">
        <v>Standard price</v>
      </c>
      <c r="H24" s="2" t="str">
        <v>19</v>
      </c>
      <c r="I24" s="17" t="str">
        <v>BR</v>
      </c>
      <c r="J24" s="32" t="str">
        <v>JUL</v>
      </c>
      <c r="K24" s="3"/>
      <c r="L24" s="3"/>
      <c r="M24" s="3"/>
      <c r="N24" s="3"/>
      <c r="O24" s="3"/>
      <c r="P24" s="3"/>
      <c r="Q24" s="3"/>
      <c r="R24" s="11"/>
    </row>
    <row r="25" spans="1:21" ht="15" thickBot="1" x14ac:dyDescent="0.35">
      <c r="A25" s="7" t="s">
        <v>121</v>
      </c>
      <c r="B25" s="7" t="s">
        <v>122</v>
      </c>
      <c r="C25" s="7" t="s">
        <v>123</v>
      </c>
      <c r="D25" s="8">
        <v>50</v>
      </c>
      <c r="E25" s="21">
        <v>35</v>
      </c>
      <c r="F25" s="27" t="s">
        <v>124</v>
      </c>
      <c r="G25" t="str">
        <v>Standard price</v>
      </c>
      <c r="H25" s="2" t="str">
        <v>21</v>
      </c>
      <c r="I25" s="17" t="str">
        <v>CA</v>
      </c>
      <c r="J25" s="32" t="str">
        <v>AUG</v>
      </c>
      <c r="K25" s="3"/>
      <c r="L25" s="3"/>
      <c r="M25" s="3"/>
      <c r="N25" s="3"/>
      <c r="O25" s="3"/>
      <c r="P25" s="3"/>
      <c r="Q25" s="3"/>
      <c r="R25" s="11"/>
    </row>
    <row r="26" spans="1:21" ht="16.2" thickBot="1" x14ac:dyDescent="0.35">
      <c r="A26" s="5" t="s">
        <v>144</v>
      </c>
      <c r="B26" s="5" t="s">
        <v>90</v>
      </c>
      <c r="C26" s="5" t="s">
        <v>145</v>
      </c>
      <c r="D26" s="6">
        <v>800</v>
      </c>
      <c r="E26" s="20">
        <v>45</v>
      </c>
      <c r="F26" s="26" t="s">
        <v>80</v>
      </c>
      <c r="G26" t="str">
        <v>High price</v>
      </c>
      <c r="H26" s="2" t="str">
        <v>29</v>
      </c>
      <c r="I26" s="17" t="str">
        <v>CA</v>
      </c>
      <c r="J26" s="32" t="str">
        <v>SEP</v>
      </c>
      <c r="K26" s="13"/>
      <c r="L26" s="14" t="s">
        <v>173</v>
      </c>
      <c r="M26" s="3"/>
      <c r="N26" s="3"/>
      <c r="O26" s="3"/>
      <c r="P26" s="3"/>
      <c r="Q26" s="3"/>
      <c r="R26" s="11"/>
    </row>
    <row r="27" spans="1:21" ht="15" thickBot="1" x14ac:dyDescent="0.35">
      <c r="A27" s="7" t="s">
        <v>146</v>
      </c>
      <c r="B27" s="7" t="s">
        <v>130</v>
      </c>
      <c r="C27" s="7" t="s">
        <v>147</v>
      </c>
      <c r="D27" s="8">
        <v>130</v>
      </c>
      <c r="E27" s="21">
        <v>25</v>
      </c>
      <c r="F27" s="27" t="s">
        <v>84</v>
      </c>
      <c r="G27" t="str">
        <v>Standard price</v>
      </c>
      <c r="H27" s="2" t="str">
        <v>03</v>
      </c>
      <c r="I27" s="17" t="str">
        <v>CA</v>
      </c>
      <c r="J27" s="32" t="str">
        <v>JUN</v>
      </c>
      <c r="K27" s="3"/>
      <c r="L27" s="3"/>
      <c r="M27" s="3"/>
      <c r="N27" s="3"/>
      <c r="O27" s="3"/>
      <c r="P27" s="3"/>
      <c r="Q27" s="3"/>
      <c r="R27" s="11"/>
    </row>
    <row r="28" spans="1:21" ht="16.2" thickBot="1" x14ac:dyDescent="0.35">
      <c r="A28" s="5" t="s">
        <v>148</v>
      </c>
      <c r="B28" s="5" t="s">
        <v>103</v>
      </c>
      <c r="C28" s="5" t="s">
        <v>149</v>
      </c>
      <c r="D28" s="6">
        <v>400</v>
      </c>
      <c r="E28" s="20">
        <v>40</v>
      </c>
      <c r="F28" s="26" t="s">
        <v>88</v>
      </c>
      <c r="G28" t="str">
        <v>Standard price</v>
      </c>
      <c r="H28" s="2" t="str">
        <v>11</v>
      </c>
      <c r="I28" s="17" t="str">
        <v>CA</v>
      </c>
      <c r="J28" s="32" t="str">
        <v>JUL</v>
      </c>
      <c r="K28" s="13"/>
      <c r="L28" s="12" t="s">
        <v>174</v>
      </c>
      <c r="M28" s="13"/>
      <c r="N28" s="13"/>
      <c r="O28" s="13"/>
      <c r="P28" s="13"/>
      <c r="Q28" s="3"/>
      <c r="R28" s="11"/>
    </row>
    <row r="29" spans="1:21" ht="15" thickBot="1" x14ac:dyDescent="0.35">
      <c r="A29" s="7" t="s">
        <v>119</v>
      </c>
      <c r="B29" s="7" t="s">
        <v>97</v>
      </c>
      <c r="C29" s="7" t="s">
        <v>120</v>
      </c>
      <c r="D29" s="8">
        <v>230</v>
      </c>
      <c r="E29" s="21">
        <v>20</v>
      </c>
      <c r="F29" s="27" t="s">
        <v>80</v>
      </c>
      <c r="G29" t="str">
        <v>Standard price</v>
      </c>
      <c r="H29" s="2" t="str">
        <v>16</v>
      </c>
      <c r="I29" s="17" t="str">
        <v>ES</v>
      </c>
      <c r="J29" s="32" t="str">
        <v>APR</v>
      </c>
      <c r="K29" s="3"/>
      <c r="L29" s="16">
        <f>SUMIF(F10:F35,"Electronics",D2:D35)</f>
        <v>3670</v>
      </c>
      <c r="M29" s="3"/>
      <c r="N29" s="3"/>
      <c r="O29" s="3"/>
      <c r="P29" s="3"/>
      <c r="Q29" s="3"/>
      <c r="R29" s="11"/>
    </row>
    <row r="30" spans="1:21" ht="15" thickBot="1" x14ac:dyDescent="0.35">
      <c r="A30" s="5" t="s">
        <v>150</v>
      </c>
      <c r="B30" s="5" t="s">
        <v>151</v>
      </c>
      <c r="C30" s="5" t="s">
        <v>152</v>
      </c>
      <c r="D30" s="6">
        <v>60</v>
      </c>
      <c r="E30" s="20">
        <v>30</v>
      </c>
      <c r="F30" s="26" t="s">
        <v>84</v>
      </c>
      <c r="G30" t="str">
        <v>Standard price</v>
      </c>
      <c r="H30" s="2" t="str">
        <v>07</v>
      </c>
      <c r="I30" s="17" t="str">
        <v>CA</v>
      </c>
      <c r="J30" s="32" t="str">
        <v>MAR</v>
      </c>
      <c r="K30" s="3"/>
      <c r="M30" s="3"/>
      <c r="N30" s="3"/>
      <c r="O30" s="3"/>
      <c r="P30" s="3"/>
      <c r="Q30" s="3"/>
      <c r="R30" s="11"/>
    </row>
    <row r="31" spans="1:21" ht="16.2" thickBot="1" x14ac:dyDescent="0.35">
      <c r="A31" s="7" t="s">
        <v>153</v>
      </c>
      <c r="B31" s="7" t="s">
        <v>154</v>
      </c>
      <c r="C31" s="7" t="s">
        <v>155</v>
      </c>
      <c r="D31" s="8">
        <v>40</v>
      </c>
      <c r="E31" s="21">
        <v>10</v>
      </c>
      <c r="F31" s="27" t="s">
        <v>88</v>
      </c>
      <c r="G31" t="str">
        <v>Standard price</v>
      </c>
      <c r="H31" s="2" t="str">
        <v>13</v>
      </c>
      <c r="I31" s="17" t="str">
        <v>CA</v>
      </c>
      <c r="J31" s="32" t="str">
        <v>APR</v>
      </c>
      <c r="K31" s="13"/>
      <c r="L31" s="12" t="s">
        <v>175</v>
      </c>
      <c r="M31" s="13"/>
      <c r="N31" s="13"/>
      <c r="O31" s="13"/>
      <c r="P31" s="3"/>
      <c r="Q31" s="3"/>
      <c r="R31" s="11"/>
    </row>
    <row r="32" spans="1:21" ht="15" thickBot="1" x14ac:dyDescent="0.35">
      <c r="A32" s="5" t="s">
        <v>156</v>
      </c>
      <c r="B32" s="5" t="s">
        <v>142</v>
      </c>
      <c r="C32" s="5" t="s">
        <v>157</v>
      </c>
      <c r="D32" s="6">
        <v>130</v>
      </c>
      <c r="E32" s="20">
        <v>5</v>
      </c>
      <c r="F32" s="26" t="s">
        <v>80</v>
      </c>
      <c r="G32" t="str">
        <v>Standard price</v>
      </c>
      <c r="H32" s="2" t="str">
        <v>24</v>
      </c>
      <c r="I32" s="17" t="str">
        <v>CA</v>
      </c>
      <c r="J32" s="32" t="str">
        <v>MAY</v>
      </c>
      <c r="K32" s="3"/>
      <c r="L32" s="16">
        <f>COUNTIF(D2:D35, "&lt;100")</f>
        <v>11</v>
      </c>
      <c r="M32" s="3"/>
      <c r="N32" s="3"/>
      <c r="O32" s="3"/>
      <c r="P32" s="3"/>
      <c r="Q32" s="3"/>
      <c r="R32" s="11"/>
    </row>
    <row r="33" spans="1:20" ht="15" thickBot="1" x14ac:dyDescent="0.35">
      <c r="A33" s="7" t="s">
        <v>158</v>
      </c>
      <c r="B33" s="7" t="s">
        <v>159</v>
      </c>
      <c r="C33" s="7" t="s">
        <v>160</v>
      </c>
      <c r="D33" s="8">
        <v>50</v>
      </c>
      <c r="E33" s="21">
        <v>50</v>
      </c>
      <c r="F33" s="27" t="s">
        <v>84</v>
      </c>
      <c r="G33" t="str">
        <v>Standard price</v>
      </c>
      <c r="H33" s="2" t="str">
        <v>02</v>
      </c>
      <c r="I33" s="17" t="str">
        <v>CA</v>
      </c>
      <c r="J33" s="32" t="str">
        <v>DEC</v>
      </c>
      <c r="K33" s="3"/>
      <c r="L33" s="3"/>
      <c r="M33" s="3"/>
      <c r="N33" s="3"/>
      <c r="O33" s="3"/>
      <c r="P33" s="3"/>
      <c r="Q33" s="3"/>
      <c r="R33" s="11"/>
    </row>
    <row r="34" spans="1:20" ht="16.2" thickBot="1" x14ac:dyDescent="0.35">
      <c r="A34" s="5" t="s">
        <v>111</v>
      </c>
      <c r="B34" s="5" t="s">
        <v>78</v>
      </c>
      <c r="C34" s="5" t="s">
        <v>112</v>
      </c>
      <c r="D34" s="6">
        <v>950</v>
      </c>
      <c r="E34" s="20">
        <v>25</v>
      </c>
      <c r="F34" s="26" t="s">
        <v>80</v>
      </c>
      <c r="G34" t="str">
        <v>High price</v>
      </c>
      <c r="H34" s="2" t="str">
        <v>17</v>
      </c>
      <c r="I34" s="17" t="str">
        <v>IN</v>
      </c>
      <c r="J34" s="32" t="str">
        <v>JUN</v>
      </c>
      <c r="K34" s="13"/>
      <c r="L34" s="14" t="s">
        <v>176</v>
      </c>
      <c r="M34" s="13"/>
      <c r="N34" s="3"/>
      <c r="O34" s="3"/>
      <c r="P34" s="3"/>
      <c r="Q34" s="3"/>
      <c r="R34" s="11"/>
    </row>
    <row r="35" spans="1:20" ht="16.2" thickBot="1" x14ac:dyDescent="0.35">
      <c r="A35" s="7" t="s">
        <v>161</v>
      </c>
      <c r="B35" s="7" t="s">
        <v>162</v>
      </c>
      <c r="C35" s="7" t="s">
        <v>163</v>
      </c>
      <c r="D35" s="8">
        <v>100</v>
      </c>
      <c r="E35" s="21">
        <v>20</v>
      </c>
      <c r="F35" s="28" t="s">
        <v>124</v>
      </c>
      <c r="G35" s="29" t="str">
        <v>Standard price</v>
      </c>
      <c r="H35" s="30" t="str">
        <v>09</v>
      </c>
      <c r="I35" s="31" t="str">
        <v>FR</v>
      </c>
      <c r="J35" s="33" t="str">
        <v>JUL</v>
      </c>
      <c r="K35" s="3"/>
      <c r="L35" s="12" t="s">
        <v>177</v>
      </c>
      <c r="M35" s="13"/>
      <c r="N35" s="13"/>
      <c r="O35" s="13"/>
      <c r="P35" s="13"/>
      <c r="Q35" s="3"/>
      <c r="R35" s="11"/>
    </row>
    <row r="36" spans="1:20" ht="15.6" x14ac:dyDescent="0.3">
      <c r="I36" s="17"/>
      <c r="K36" s="13"/>
      <c r="L36" s="12" t="s">
        <v>179</v>
      </c>
      <c r="M36" s="13"/>
      <c r="N36" s="13"/>
      <c r="O36" s="13"/>
      <c r="P36" s="13"/>
      <c r="Q36" s="13"/>
      <c r="R36" s="13"/>
    </row>
    <row r="37" spans="1:20" ht="15.6" x14ac:dyDescent="0.3">
      <c r="I37" s="18"/>
      <c r="K37" s="13"/>
      <c r="L37" s="12" t="s">
        <v>181</v>
      </c>
      <c r="M37" s="13"/>
      <c r="N37" s="13"/>
      <c r="O37" s="13"/>
      <c r="P37" s="13"/>
      <c r="Q37" s="13"/>
      <c r="R37" s="13"/>
      <c r="S37" s="13"/>
      <c r="T37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DBF-CD59-492D-BB9B-B66852230150}">
  <dimension ref="A1:P29"/>
  <sheetViews>
    <sheetView tabSelected="1" workbookViewId="0">
      <selection activeCell="A4" sqref="A4:E4"/>
    </sheetView>
  </sheetViews>
  <sheetFormatPr defaultRowHeight="14.4" x14ac:dyDescent="0.3"/>
  <sheetData>
    <row r="1" spans="1:7" x14ac:dyDescent="0.3">
      <c r="A1" s="38" t="s">
        <v>196</v>
      </c>
      <c r="B1" s="35"/>
      <c r="C1" s="35"/>
      <c r="D1" s="35"/>
      <c r="E1" s="35"/>
      <c r="F1" s="35"/>
      <c r="G1" s="35"/>
    </row>
    <row r="2" spans="1:7" x14ac:dyDescent="0.3">
      <c r="A2" s="37"/>
      <c r="B2" s="37"/>
      <c r="C2" s="37"/>
      <c r="D2" s="37"/>
      <c r="E2" s="37"/>
      <c r="F2" s="37"/>
      <c r="G2" s="37"/>
    </row>
    <row r="3" spans="1:7" x14ac:dyDescent="0.3">
      <c r="A3" s="35" t="s">
        <v>183</v>
      </c>
      <c r="B3" s="35"/>
      <c r="C3" s="35"/>
      <c r="D3" s="35"/>
      <c r="E3" s="35"/>
    </row>
    <row r="4" spans="1:7" x14ac:dyDescent="0.3">
      <c r="A4" s="38" t="s">
        <v>185</v>
      </c>
      <c r="B4" s="38"/>
      <c r="C4" s="38"/>
      <c r="D4" s="38"/>
      <c r="E4" s="38"/>
    </row>
    <row r="5" spans="1:7" x14ac:dyDescent="0.3">
      <c r="A5" s="38" t="s">
        <v>186</v>
      </c>
      <c r="B5" s="38"/>
      <c r="C5" s="38"/>
      <c r="D5" s="38"/>
      <c r="E5" s="38"/>
    </row>
    <row r="6" spans="1:7" x14ac:dyDescent="0.3">
      <c r="A6" s="39" t="s">
        <v>187</v>
      </c>
      <c r="B6" s="39"/>
      <c r="C6" s="39"/>
      <c r="D6" s="39"/>
      <c r="E6" s="39"/>
    </row>
    <row r="7" spans="1:7" x14ac:dyDescent="0.3">
      <c r="A7" s="35"/>
      <c r="B7" s="35"/>
      <c r="C7" s="35"/>
      <c r="D7" s="35"/>
      <c r="E7" s="35"/>
    </row>
    <row r="8" spans="1:7" x14ac:dyDescent="0.3">
      <c r="A8" s="36" t="s">
        <v>184</v>
      </c>
      <c r="B8" s="36"/>
      <c r="C8" s="36"/>
      <c r="D8" s="36"/>
      <c r="E8" s="36"/>
    </row>
    <row r="9" spans="1:7" x14ac:dyDescent="0.3">
      <c r="A9" s="39" t="s">
        <v>189</v>
      </c>
      <c r="B9" s="39"/>
      <c r="C9" s="39"/>
      <c r="D9" s="39"/>
      <c r="E9" s="39"/>
    </row>
    <row r="10" spans="1:7" x14ac:dyDescent="0.3">
      <c r="A10" s="39" t="s">
        <v>188</v>
      </c>
      <c r="B10" s="39"/>
      <c r="C10" s="39"/>
      <c r="D10" s="39"/>
      <c r="E10" s="39"/>
    </row>
    <row r="11" spans="1:7" x14ac:dyDescent="0.3">
      <c r="A11" s="35"/>
      <c r="B11" s="35"/>
      <c r="C11" s="35"/>
      <c r="D11" s="35"/>
      <c r="E11" s="35"/>
    </row>
    <row r="12" spans="1:7" x14ac:dyDescent="0.3">
      <c r="A12" s="35" t="s">
        <v>171</v>
      </c>
      <c r="B12" s="35"/>
      <c r="C12" s="35"/>
      <c r="D12" s="35"/>
      <c r="E12" s="35"/>
    </row>
    <row r="13" spans="1:7" x14ac:dyDescent="0.3">
      <c r="A13" s="39" t="s">
        <v>190</v>
      </c>
      <c r="B13" s="39"/>
      <c r="C13" s="39"/>
      <c r="D13" s="39"/>
      <c r="E13" s="39"/>
    </row>
    <row r="14" spans="1:7" x14ac:dyDescent="0.3">
      <c r="A14" s="35"/>
      <c r="B14" s="35"/>
      <c r="C14" s="35"/>
      <c r="D14" s="35"/>
      <c r="E14" s="35"/>
    </row>
    <row r="15" spans="1:7" x14ac:dyDescent="0.3">
      <c r="A15" s="36" t="s">
        <v>174</v>
      </c>
      <c r="B15" s="36"/>
      <c r="C15" s="36"/>
      <c r="D15" s="36"/>
      <c r="E15" s="36"/>
    </row>
    <row r="16" spans="1:7" x14ac:dyDescent="0.3">
      <c r="A16" s="39" t="s">
        <v>191</v>
      </c>
      <c r="B16" s="39"/>
      <c r="C16" s="39"/>
      <c r="D16" s="39"/>
      <c r="E16" s="39"/>
    </row>
    <row r="17" spans="1:16" x14ac:dyDescent="0.3">
      <c r="A17" s="35"/>
      <c r="B17" s="35"/>
      <c r="C17" s="35"/>
      <c r="D17" s="35"/>
      <c r="E17" s="35"/>
    </row>
    <row r="18" spans="1:16" x14ac:dyDescent="0.3">
      <c r="A18" s="36" t="s">
        <v>175</v>
      </c>
      <c r="B18" s="36"/>
      <c r="C18" s="36"/>
      <c r="D18" s="36"/>
      <c r="E18" s="36"/>
    </row>
    <row r="19" spans="1:16" x14ac:dyDescent="0.3">
      <c r="A19" s="39" t="s">
        <v>192</v>
      </c>
      <c r="B19" s="39"/>
      <c r="C19" s="39"/>
      <c r="D19" s="39"/>
      <c r="E19" s="39"/>
    </row>
    <row r="20" spans="1:16" x14ac:dyDescent="0.3">
      <c r="A20" s="35"/>
      <c r="B20" s="35"/>
      <c r="C20" s="35"/>
      <c r="D20" s="35"/>
      <c r="E20" s="35"/>
    </row>
    <row r="21" spans="1:16" ht="15.6" x14ac:dyDescent="0.3">
      <c r="A21" s="14" t="s">
        <v>176</v>
      </c>
      <c r="B21" s="13"/>
      <c r="C21" s="3"/>
      <c r="D21" s="3"/>
      <c r="E21" s="3"/>
      <c r="F21" s="3"/>
      <c r="G21" s="11"/>
    </row>
    <row r="22" spans="1:16" ht="15.6" x14ac:dyDescent="0.3">
      <c r="A22" s="12" t="s">
        <v>177</v>
      </c>
      <c r="B22" s="13"/>
      <c r="C22" s="13"/>
      <c r="D22" s="13"/>
      <c r="E22" s="13"/>
      <c r="F22" s="3"/>
      <c r="G22" s="11"/>
      <c r="L22" s="3" t="s">
        <v>193</v>
      </c>
      <c r="M22" s="3"/>
    </row>
    <row r="23" spans="1:16" ht="15.6" x14ac:dyDescent="0.3">
      <c r="A23" s="12" t="s">
        <v>179</v>
      </c>
      <c r="B23" s="13"/>
      <c r="C23" s="13"/>
      <c r="D23" s="13"/>
      <c r="E23" s="13"/>
      <c r="F23" s="13"/>
      <c r="G23" s="13"/>
      <c r="O23" s="3" t="s">
        <v>194</v>
      </c>
      <c r="P23" s="3"/>
    </row>
    <row r="24" spans="1:16" ht="15.6" x14ac:dyDescent="0.3">
      <c r="A24" s="12" t="s">
        <v>181</v>
      </c>
      <c r="B24" s="13"/>
      <c r="C24" s="13"/>
      <c r="D24" s="13"/>
      <c r="E24" s="13"/>
      <c r="F24" s="13"/>
      <c r="G24" s="13"/>
      <c r="H24" s="13"/>
      <c r="I24" s="13"/>
      <c r="N24" s="3" t="s">
        <v>195</v>
      </c>
    </row>
    <row r="29" spans="1:16" x14ac:dyDescent="0.3">
      <c r="K29" s="3"/>
    </row>
  </sheetData>
  <mergeCells count="20">
    <mergeCell ref="A2:G2"/>
    <mergeCell ref="A1:G1"/>
    <mergeCell ref="A18:E18"/>
    <mergeCell ref="A19:E19"/>
    <mergeCell ref="A20:E20"/>
    <mergeCell ref="A12:E12"/>
    <mergeCell ref="A13:E13"/>
    <mergeCell ref="A14:E14"/>
    <mergeCell ref="A15:E15"/>
    <mergeCell ref="A16:E16"/>
    <mergeCell ref="A17:E17"/>
    <mergeCell ref="A3:E3"/>
    <mergeCell ref="A4:E4"/>
    <mergeCell ref="A5:E5"/>
    <mergeCell ref="A6:E6"/>
    <mergeCell ref="A7:E7"/>
    <mergeCell ref="A8:E8"/>
    <mergeCell ref="A9:E9"/>
    <mergeCell ref="A10:E10"/>
    <mergeCell ref="A11:E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Solutions</vt:lpstr>
      <vt:lpstr>steps and syntax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Jomcy Rani Xavier</dc:creator>
  <cp:lastModifiedBy>Jomcy Rani Xavier</cp:lastModifiedBy>
  <dcterms:created xsi:type="dcterms:W3CDTF">2026-09-24T05:11:13Z</dcterms:created>
  <dcterms:modified xsi:type="dcterms:W3CDTF">2026-09-24T16:39:48Z</dcterms:modified>
</cp:coreProperties>
</file>